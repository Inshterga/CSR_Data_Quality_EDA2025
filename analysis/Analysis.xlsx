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hartsheet+xml" PartName="/xl/chartsheets/sheet1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 data" sheetId="1" r:id="rId4"/>
    <sheet state="visible" name="Summary stats" sheetId="2" r:id="rId5"/>
    <sheet state="visible" name="Difference within industries" sheetId="3" r:id="rId6"/>
    <sheet state="visible" name="Industry ESG comparison" sheetId="4" r:id="rId7"/>
    <sheet state="visible" name="Leaders &amp; Laggards" sheetId="5" r:id="rId8"/>
    <sheet state="visible" name="N of companies per industry" sheetId="6" r:id="rId9"/>
  </sheets>
  <definedNames/>
  <calcPr/>
  <pivotCaches>
    <pivotCache cacheId="0" r:id="rId10"/>
    <pivotCache cacheId="1" r:id="rId11"/>
  </pivotCaches>
</workbook>
</file>

<file path=xl/sharedStrings.xml><?xml version="1.0" encoding="utf-8"?>
<sst xmlns="http://schemas.openxmlformats.org/spreadsheetml/2006/main" count="9624" uniqueCount="1563">
  <si>
    <t>ticker</t>
  </si>
  <si>
    <t>name</t>
  </si>
  <si>
    <t>currency</t>
  </si>
  <si>
    <t>exchange</t>
  </si>
  <si>
    <t>industry</t>
  </si>
  <si>
    <t>environment_grade</t>
  </si>
  <si>
    <t>environment_level</t>
  </si>
  <si>
    <t>social_grade</t>
  </si>
  <si>
    <t>social_level</t>
  </si>
  <si>
    <t>governance_grade</t>
  </si>
  <si>
    <t>governance_level</t>
  </si>
  <si>
    <t>environment_score</t>
  </si>
  <si>
    <t>social_score</t>
  </si>
  <si>
    <t>governance_score</t>
  </si>
  <si>
    <t>total_score</t>
  </si>
  <si>
    <t>last_processing_date</t>
  </si>
  <si>
    <t>total_grade</t>
  </si>
  <si>
    <t>total_level</t>
  </si>
  <si>
    <t>cik</t>
  </si>
  <si>
    <t>hei</t>
  </si>
  <si>
    <t>HEICO Corp</t>
  </si>
  <si>
    <t>USD</t>
  </si>
  <si>
    <t>NEW YORK STOCK EXCHANGE, INC.</t>
  </si>
  <si>
    <t>Aerospace and Defense</t>
  </si>
  <si>
    <t>B</t>
  </si>
  <si>
    <t>Medium</t>
  </si>
  <si>
    <t>rtx</t>
  </si>
  <si>
    <t>Raytheon Technologies Corp</t>
  </si>
  <si>
    <t>A</t>
  </si>
  <si>
    <t>High</t>
  </si>
  <si>
    <t>BB</t>
  </si>
  <si>
    <t>BBB</t>
  </si>
  <si>
    <t>hii</t>
  </si>
  <si>
    <t>Huntington Ingalls Industries Inc</t>
  </si>
  <si>
    <t>hwm</t>
  </si>
  <si>
    <t>Howmet Aerospace Inc</t>
  </si>
  <si>
    <t>lmt</t>
  </si>
  <si>
    <t>Lockheed Martin Corp</t>
  </si>
  <si>
    <t>spr</t>
  </si>
  <si>
    <t>Spirit AeroSystems Holdings Inc</t>
  </si>
  <si>
    <t>gd</t>
  </si>
  <si>
    <t>General Dynamics Corp</t>
  </si>
  <si>
    <t>noc</t>
  </si>
  <si>
    <t>Northrop Grumman Corp</t>
  </si>
  <si>
    <t>tdg</t>
  </si>
  <si>
    <t>TransDigm Group Inc</t>
  </si>
  <si>
    <t>txt</t>
  </si>
  <si>
    <t>Textron Inc</t>
  </si>
  <si>
    <t>ba</t>
  </si>
  <si>
    <t>Boeing Co</t>
  </si>
  <si>
    <t>dal</t>
  </si>
  <si>
    <t>Delta Air Lines Inc</t>
  </si>
  <si>
    <t>Airlines</t>
  </si>
  <si>
    <t>alk</t>
  </si>
  <si>
    <t>Alaska Air Group Inc</t>
  </si>
  <si>
    <t>luv</t>
  </si>
  <si>
    <t>Southwest Airlines Co</t>
  </si>
  <si>
    <t>aal</t>
  </si>
  <si>
    <t>American Airlines Group Inc</t>
  </si>
  <si>
    <t>NASDAQ NMS - GLOBAL MARKET</t>
  </si>
  <si>
    <t>algt</t>
  </si>
  <si>
    <t>Allegiant Travel Co</t>
  </si>
  <si>
    <t>ha</t>
  </si>
  <si>
    <t>Hawaiian Holdings Inc</t>
  </si>
  <si>
    <t>ual</t>
  </si>
  <si>
    <t>United Airlines Holdings Inc</t>
  </si>
  <si>
    <t>aptv</t>
  </si>
  <si>
    <t>Aptiv PLC</t>
  </si>
  <si>
    <t>Auto Components</t>
  </si>
  <si>
    <t>bwa</t>
  </si>
  <si>
    <t>Borgwarner Inc</t>
  </si>
  <si>
    <t>xl</t>
  </si>
  <si>
    <t>XL Fleet Corp</t>
  </si>
  <si>
    <t>gm</t>
  </si>
  <si>
    <t>General Motors Co</t>
  </si>
  <si>
    <t>Automobiles</t>
  </si>
  <si>
    <t>tsla</t>
  </si>
  <si>
    <t>Tesla Inc</t>
  </si>
  <si>
    <t>CCC</t>
  </si>
  <si>
    <t>Low</t>
  </si>
  <si>
    <t>f</t>
  </si>
  <si>
    <t>Ford Motor Co</t>
  </si>
  <si>
    <t>xpev</t>
  </si>
  <si>
    <t>Xpeng Inc</t>
  </si>
  <si>
    <t>CNY</t>
  </si>
  <si>
    <t>ppbi</t>
  </si>
  <si>
    <t>Pacific Premier Bancorp Inc</t>
  </si>
  <si>
    <t>Banking</t>
  </si>
  <si>
    <t>jpm</t>
  </si>
  <si>
    <t>JPMorgan Chase &amp; Co</t>
  </si>
  <si>
    <t>sivb</t>
  </si>
  <si>
    <t>SVB Financial Group</t>
  </si>
  <si>
    <t>c</t>
  </si>
  <si>
    <t>Citigroup Inc</t>
  </si>
  <si>
    <t>wfc</t>
  </si>
  <si>
    <t>Wells Fargo &amp; Co</t>
  </si>
  <si>
    <t>rf</t>
  </si>
  <si>
    <t>Regions Financial Corp</t>
  </si>
  <si>
    <t>tfc</t>
  </si>
  <si>
    <t>Truist Financial Corp</t>
  </si>
  <si>
    <t>pnc</t>
  </si>
  <si>
    <t>PNC Financial Services Group Inc</t>
  </si>
  <si>
    <t>mtb</t>
  </si>
  <si>
    <t>M&amp;T Bank Corp</t>
  </si>
  <si>
    <t>frc</t>
  </si>
  <si>
    <t>First Republic Bank</t>
  </si>
  <si>
    <t>uvsp</t>
  </si>
  <si>
    <t>Univest Financial Corp</t>
  </si>
  <si>
    <t>usb</t>
  </si>
  <si>
    <t>US Bancorp</t>
  </si>
  <si>
    <t>hban</t>
  </si>
  <si>
    <t>Huntington Bancshares Inc</t>
  </si>
  <si>
    <t>abtx</t>
  </si>
  <si>
    <t>Allegiance Bancshares Inc</t>
  </si>
  <si>
    <t>myfw</t>
  </si>
  <si>
    <t>First Western Financial Inc</t>
  </si>
  <si>
    <t>bac</t>
  </si>
  <si>
    <t>Bank of America Corp</t>
  </si>
  <si>
    <t>pnfp</t>
  </si>
  <si>
    <t>Pinnacle Financial Partners Inc</t>
  </si>
  <si>
    <t>abcb</t>
  </si>
  <si>
    <t>Ameris Bancorp</t>
  </si>
  <si>
    <t>fitb</t>
  </si>
  <si>
    <t>Fifth Third Bancorp</t>
  </si>
  <si>
    <t>hbt</t>
  </si>
  <si>
    <t>HBT Financial Inc</t>
  </si>
  <si>
    <t>cma</t>
  </si>
  <si>
    <t>Comerica Inc</t>
  </si>
  <si>
    <t>hbnc</t>
  </si>
  <si>
    <t>Horizon Bancorp Inc</t>
  </si>
  <si>
    <t>pnbk</t>
  </si>
  <si>
    <t>Patriot National Bancorp Inc</t>
  </si>
  <si>
    <t>hafc</t>
  </si>
  <si>
    <t>Hanmi Financial Corp</t>
  </si>
  <si>
    <t>acnb</t>
  </si>
  <si>
    <t>ACNB Corp</t>
  </si>
  <si>
    <t>cfg</t>
  </si>
  <si>
    <t>Citizens Financial Group Inc</t>
  </si>
  <si>
    <t>mvbf</t>
  </si>
  <si>
    <t>MVB Financial Corp</t>
  </si>
  <si>
    <t>afbi</t>
  </si>
  <si>
    <t>Affinity Bancshares Inc</t>
  </si>
  <si>
    <t>zion</t>
  </si>
  <si>
    <t>Zions Bancorporation NA</t>
  </si>
  <si>
    <t>pep</t>
  </si>
  <si>
    <t>PepsiCo Inc</t>
  </si>
  <si>
    <t>Beverages</t>
  </si>
  <si>
    <t>AA</t>
  </si>
  <si>
    <t>Excellent</t>
  </si>
  <si>
    <t>mnst</t>
  </si>
  <si>
    <t>Monster Beverage Corp</t>
  </si>
  <si>
    <t>stz</t>
  </si>
  <si>
    <t>Constellation Brands Inc</t>
  </si>
  <si>
    <t>ko</t>
  </si>
  <si>
    <t>Coca-Cola Co</t>
  </si>
  <si>
    <t>amgn</t>
  </si>
  <si>
    <t>Amgen Inc</t>
  </si>
  <si>
    <t>Biotechnology</t>
  </si>
  <si>
    <t>clxt</t>
  </si>
  <si>
    <t>Calyxt Inc</t>
  </si>
  <si>
    <t>allo</t>
  </si>
  <si>
    <t>Allogene Therapeutics Inc</t>
  </si>
  <si>
    <t>agio</t>
  </si>
  <si>
    <t>Agios Pharmaceuticals Inc</t>
  </si>
  <si>
    <t>regn</t>
  </si>
  <si>
    <t>Regeneron Pharmaceuticals Inc</t>
  </si>
  <si>
    <t>halo</t>
  </si>
  <si>
    <t>Halozyme Therapeutics Inc</t>
  </si>
  <si>
    <t>abbv</t>
  </si>
  <si>
    <t>Abbvie Inc</t>
  </si>
  <si>
    <t>albo</t>
  </si>
  <si>
    <t>Albireo Pharma Inc</t>
  </si>
  <si>
    <t>gild</t>
  </si>
  <si>
    <t>Gilead Sciences Inc</t>
  </si>
  <si>
    <t>mrna</t>
  </si>
  <si>
    <t>Moderna Inc</t>
  </si>
  <si>
    <t>vrtx</t>
  </si>
  <si>
    <t>Vertex Pharmaceuticals Inc</t>
  </si>
  <si>
    <t>harp</t>
  </si>
  <si>
    <t>Harpoon Therapeutics Inc</t>
  </si>
  <si>
    <t>alks</t>
  </si>
  <si>
    <t>Alkermes Plc</t>
  </si>
  <si>
    <t>biib</t>
  </si>
  <si>
    <t>Biogen Inc</t>
  </si>
  <si>
    <t>mtem</t>
  </si>
  <si>
    <t>Molecular Templates Inc</t>
  </si>
  <si>
    <t>alny</t>
  </si>
  <si>
    <t>Alnylam Pharmaceuticals Inc</t>
  </si>
  <si>
    <t>afmd</t>
  </si>
  <si>
    <t>Affimed NV</t>
  </si>
  <si>
    <t>EUR</t>
  </si>
  <si>
    <t>mygn</t>
  </si>
  <si>
    <t>Myriad Genetics Inc</t>
  </si>
  <si>
    <t>adap</t>
  </si>
  <si>
    <t>Adaptimmune Therapeutics PLC</t>
  </si>
  <si>
    <t>adag</t>
  </si>
  <si>
    <t>Adagene Inc</t>
  </si>
  <si>
    <t>zyme</t>
  </si>
  <si>
    <t>Zymeworks Inc</t>
  </si>
  <si>
    <t>agtc</t>
  </si>
  <si>
    <t>Applied Genetic Technologies Corp</t>
  </si>
  <si>
    <t>aciu</t>
  </si>
  <si>
    <t>AC Immune SA</t>
  </si>
  <si>
    <t>CHF</t>
  </si>
  <si>
    <t>acor</t>
  </si>
  <si>
    <t>Acorda Therapeutics Inc</t>
  </si>
  <si>
    <t>acxp</t>
  </si>
  <si>
    <t>Acurx Pharmaceuticals Inc</t>
  </si>
  <si>
    <t>agen</t>
  </si>
  <si>
    <t>Agenus Inc</t>
  </si>
  <si>
    <t>pnt</t>
  </si>
  <si>
    <t>POINT Biopharma Global Inc</t>
  </si>
  <si>
    <t>adma</t>
  </si>
  <si>
    <t>ADMA Biologics Inc</t>
  </si>
  <si>
    <t>abeo</t>
  </si>
  <si>
    <t>Abeona Therapeutics Inc</t>
  </si>
  <si>
    <t>advm</t>
  </si>
  <si>
    <t>Adverum Biotechnologies Inc</t>
  </si>
  <si>
    <t>alec</t>
  </si>
  <si>
    <t>Alector Inc</t>
  </si>
  <si>
    <t>achl</t>
  </si>
  <si>
    <t>Achilles Therapeutics PLC</t>
  </si>
  <si>
    <t>akro</t>
  </si>
  <si>
    <t>Akero Therapeutics Inc</t>
  </si>
  <si>
    <t>uthr</t>
  </si>
  <si>
    <t>United Therapeutics Corp</t>
  </si>
  <si>
    <t>allk</t>
  </si>
  <si>
    <t>Allakos Inc</t>
  </si>
  <si>
    <t>clsn</t>
  </si>
  <si>
    <t>Celsion Corp</t>
  </si>
  <si>
    <t>acad</t>
  </si>
  <si>
    <t>ACADIA Pharmaceuticals Inc</t>
  </si>
  <si>
    <t>urgn</t>
  </si>
  <si>
    <t>Urogen Pharma Ltd</t>
  </si>
  <si>
    <t>mtcr</t>
  </si>
  <si>
    <t>Metacrine Inc</t>
  </si>
  <si>
    <t>abus</t>
  </si>
  <si>
    <t>Arbutus Biopharma Corp</t>
  </si>
  <si>
    <t>achv</t>
  </si>
  <si>
    <t>Achieve Life Sciences Inc</t>
  </si>
  <si>
    <t>adtx</t>
  </si>
  <si>
    <t>Aditxt Inc</t>
  </si>
  <si>
    <t>clvs</t>
  </si>
  <si>
    <t>Clovis Oncology Inc</t>
  </si>
  <si>
    <t>acet</t>
  </si>
  <si>
    <t>Adicet Bio Inc</t>
  </si>
  <si>
    <t>aldx</t>
  </si>
  <si>
    <t>Aldeyra Therapeutics Inc</t>
  </si>
  <si>
    <t>pmcb</t>
  </si>
  <si>
    <t>PharmaCyte Biotech Inc</t>
  </si>
  <si>
    <t>akus</t>
  </si>
  <si>
    <t>Akouos Inc</t>
  </si>
  <si>
    <t>abio</t>
  </si>
  <si>
    <t>ARCA Biopharma Inc</t>
  </si>
  <si>
    <t>algs</t>
  </si>
  <si>
    <t>Aligos Therapeutics Inc</t>
  </si>
  <si>
    <t>aiki</t>
  </si>
  <si>
    <t>Aikido Pharma Inc</t>
  </si>
  <si>
    <t>abvc</t>
  </si>
  <si>
    <t>ABVC Biopharma Inc</t>
  </si>
  <si>
    <t>akba</t>
  </si>
  <si>
    <t>Akebia Therapeutics Inc</t>
  </si>
  <si>
    <t>prax</t>
  </si>
  <si>
    <t>Praxis Precision Medicines Inc</t>
  </si>
  <si>
    <t>agle</t>
  </si>
  <si>
    <t>Aeglea Bio Therapeutics Inc</t>
  </si>
  <si>
    <t>abos</t>
  </si>
  <si>
    <t>Acumen Pharmaceuticals Inc</t>
  </si>
  <si>
    <t>aadi</t>
  </si>
  <si>
    <t>Aadi Bioscience Inc</t>
  </si>
  <si>
    <t>tt</t>
  </si>
  <si>
    <t>Trane Technologies PLC</t>
  </si>
  <si>
    <t>Building</t>
  </si>
  <si>
    <t>alle</t>
  </si>
  <si>
    <t>Allegion PLC</t>
  </si>
  <si>
    <t>mas</t>
  </si>
  <si>
    <t>Masco Corp</t>
  </si>
  <si>
    <t>hayw</t>
  </si>
  <si>
    <t>Hayward Holdings Inc</t>
  </si>
  <si>
    <t>aos</t>
  </si>
  <si>
    <t>A O Smith Corp</t>
  </si>
  <si>
    <t>fbhs</t>
  </si>
  <si>
    <t>Fortune Brands Home &amp; Security Inc</t>
  </si>
  <si>
    <t>zws</t>
  </si>
  <si>
    <t>Zurn Elkay Water Solutions Corp</t>
  </si>
  <si>
    <t>aaon</t>
  </si>
  <si>
    <t>Aaon Inc</t>
  </si>
  <si>
    <t>aehl</t>
  </si>
  <si>
    <t>Antelope Enterprise Holdings Ltd</t>
  </si>
  <si>
    <t>carr</t>
  </si>
  <si>
    <t>Carrier Global Corp</t>
  </si>
  <si>
    <t>apd</t>
  </si>
  <si>
    <t>Air Products and Chemicals Inc</t>
  </si>
  <si>
    <t>Chemicals</t>
  </si>
  <si>
    <t>lyb</t>
  </si>
  <si>
    <t>LyondellBasell Industries NV</t>
  </si>
  <si>
    <t>emn</t>
  </si>
  <si>
    <t>Eastman Chemical Co</t>
  </si>
  <si>
    <t>ecl</t>
  </si>
  <si>
    <t>Ecolab Inc</t>
  </si>
  <si>
    <t>ctva</t>
  </si>
  <si>
    <t>Corteva Inc</t>
  </si>
  <si>
    <t>mos</t>
  </si>
  <si>
    <t>Mosaic Co</t>
  </si>
  <si>
    <t>dd</t>
  </si>
  <si>
    <t>Dupont De Nemours Inc</t>
  </si>
  <si>
    <t>alb</t>
  </si>
  <si>
    <t>Albemarle Corp</t>
  </si>
  <si>
    <t>cf</t>
  </si>
  <si>
    <t>CF Industries Holdings Inc</t>
  </si>
  <si>
    <t>fmc</t>
  </si>
  <si>
    <t>FMC Corp</t>
  </si>
  <si>
    <t>trox</t>
  </si>
  <si>
    <t>Tronox Holdings PLC</t>
  </si>
  <si>
    <t>ce</t>
  </si>
  <si>
    <t>Celanese Corp</t>
  </si>
  <si>
    <t>agfs</t>
  </si>
  <si>
    <t>AgroFresh Solutions Inc</t>
  </si>
  <si>
    <t>gure</t>
  </si>
  <si>
    <t>Gulf Resources Inc</t>
  </si>
  <si>
    <t>shw</t>
  </si>
  <si>
    <t>Sherwin-Williams Co</t>
  </si>
  <si>
    <t>ppg</t>
  </si>
  <si>
    <t>PPG Industries Inc</t>
  </si>
  <si>
    <t>lin</t>
  </si>
  <si>
    <t>Linde PLC</t>
  </si>
  <si>
    <t>ades</t>
  </si>
  <si>
    <t>Advanced Emissions Solutions Inc</t>
  </si>
  <si>
    <t>dow</t>
  </si>
  <si>
    <t>Dow Inc</t>
  </si>
  <si>
    <t>wm</t>
  </si>
  <si>
    <t>Waste Management Inc</t>
  </si>
  <si>
    <t>Commercial Services and Supplies</t>
  </si>
  <si>
    <t>hcci</t>
  </si>
  <si>
    <t>Heritage-Crystal Clean Inc</t>
  </si>
  <si>
    <t>rol</t>
  </si>
  <si>
    <t>Rollins Inc</t>
  </si>
  <si>
    <t>ctas</t>
  </si>
  <si>
    <t>Cintas Corp</t>
  </si>
  <si>
    <t>acva</t>
  </si>
  <si>
    <t>ACV Auctions Inc</t>
  </si>
  <si>
    <t>rsg</t>
  </si>
  <si>
    <t>Republic Services Inc</t>
  </si>
  <si>
    <t>cprt</t>
  </si>
  <si>
    <t>Copart Inc</t>
  </si>
  <si>
    <t>msi</t>
  </si>
  <si>
    <t>Motorola Solutions Inc</t>
  </si>
  <si>
    <t>Communications</t>
  </si>
  <si>
    <t>cmbm</t>
  </si>
  <si>
    <t>Cambium Networks Corp</t>
  </si>
  <si>
    <t>adtn</t>
  </si>
  <si>
    <t>ADTRAN Inc</t>
  </si>
  <si>
    <t>anet</t>
  </si>
  <si>
    <t>Arista Networks Inc</t>
  </si>
  <si>
    <t>utsi</t>
  </si>
  <si>
    <t>UTStarcom Holdings Corp</t>
  </si>
  <si>
    <t>clro</t>
  </si>
  <si>
    <t>Clearone Inc</t>
  </si>
  <si>
    <t>aaoi</t>
  </si>
  <si>
    <t>Applied Optoelectronics Inc</t>
  </si>
  <si>
    <t>csco</t>
  </si>
  <si>
    <t>Cisco Systems Inc</t>
  </si>
  <si>
    <t>ffiv</t>
  </si>
  <si>
    <t>F5 Inc</t>
  </si>
  <si>
    <t>mtrx</t>
  </si>
  <si>
    <t>Matrix Service Co</t>
  </si>
  <si>
    <t>Construction</t>
  </si>
  <si>
    <t>pwr</t>
  </si>
  <si>
    <t>Quanta Services Inc</t>
  </si>
  <si>
    <t>vmc</t>
  </si>
  <si>
    <t>Vulcan Materials Co</t>
  </si>
  <si>
    <t>mlm</t>
  </si>
  <si>
    <t>Martin Marietta Materials Inc</t>
  </si>
  <si>
    <t>uslm</t>
  </si>
  <si>
    <t>United States Lime &amp; Minerals Inc</t>
  </si>
  <si>
    <t>gva</t>
  </si>
  <si>
    <t>Granite Construction Inc</t>
  </si>
  <si>
    <t>pg</t>
  </si>
  <si>
    <t>Procter &amp; Gamble Co</t>
  </si>
  <si>
    <t>Consumer products</t>
  </si>
  <si>
    <t>chd</t>
  </si>
  <si>
    <t>Church &amp; Dwight Co Inc</t>
  </si>
  <si>
    <t>clx</t>
  </si>
  <si>
    <t>Clorox Co</t>
  </si>
  <si>
    <t>mhk</t>
  </si>
  <si>
    <t>Mohawk Industries Inc</t>
  </si>
  <si>
    <t>nwl</t>
  </si>
  <si>
    <t>Newell Brands Inc</t>
  </si>
  <si>
    <t>cl</t>
  </si>
  <si>
    <t>Colgate-Palmolive Co</t>
  </si>
  <si>
    <t>whr</t>
  </si>
  <si>
    <t>Whirlpool Corp</t>
  </si>
  <si>
    <t>leg</t>
  </si>
  <si>
    <t>Leggett &amp; Platt Inc</t>
  </si>
  <si>
    <t>el</t>
  </si>
  <si>
    <t>Estee Lauder Companies Inc</t>
  </si>
  <si>
    <t>sisi</t>
  </si>
  <si>
    <t>Shineco Inc</t>
  </si>
  <si>
    <t>len</t>
  </si>
  <si>
    <t>Lennar Corp</t>
  </si>
  <si>
    <t>ysg</t>
  </si>
  <si>
    <t>Yatsen Holding Ltd</t>
  </si>
  <si>
    <t>hbb</t>
  </si>
  <si>
    <t>Hamilton Beach Brands Holding Co</t>
  </si>
  <si>
    <t>happ</t>
  </si>
  <si>
    <t>Happiness Development Group Ltd</t>
  </si>
  <si>
    <t>dhi</t>
  </si>
  <si>
    <t>D R Horton Inc</t>
  </si>
  <si>
    <t>mtex</t>
  </si>
  <si>
    <t>Mannatech Inc</t>
  </si>
  <si>
    <t>nvr</t>
  </si>
  <si>
    <t>NVR Inc</t>
  </si>
  <si>
    <t>phm</t>
  </si>
  <si>
    <t>Pultegroup Inc</t>
  </si>
  <si>
    <t>hcdi</t>
  </si>
  <si>
    <t>Harbor Custom Development Inc</t>
  </si>
  <si>
    <t>grmn</t>
  </si>
  <si>
    <t>Garmin Ltd</t>
  </si>
  <si>
    <t>pool</t>
  </si>
  <si>
    <t>Pool Corp</t>
  </si>
  <si>
    <t>Distributors</t>
  </si>
  <si>
    <t>lkq</t>
  </si>
  <si>
    <t>LKQ Corp</t>
  </si>
  <si>
    <t>gpc</t>
  </si>
  <si>
    <t>Genuine Parts Co</t>
  </si>
  <si>
    <t>prdo</t>
  </si>
  <si>
    <t>Perdoceo Education Corp</t>
  </si>
  <si>
    <t>Diversified Consumer Services</t>
  </si>
  <si>
    <t>afya</t>
  </si>
  <si>
    <t>Afya Ltd</t>
  </si>
  <si>
    <t>BRL</t>
  </si>
  <si>
    <t>aacg</t>
  </si>
  <si>
    <t>ATA Creativity Global</t>
  </si>
  <si>
    <t>aph</t>
  </si>
  <si>
    <t>Amphenol Corp</t>
  </si>
  <si>
    <t>Electrical Equipment</t>
  </si>
  <si>
    <t>trmb</t>
  </si>
  <si>
    <t>Trimble Inc</t>
  </si>
  <si>
    <t>emr</t>
  </si>
  <si>
    <t>Emerson Electric Co</t>
  </si>
  <si>
    <t>etn</t>
  </si>
  <si>
    <t>Eaton Corporation PLC</t>
  </si>
  <si>
    <t>ame</t>
  </si>
  <si>
    <t>AMETEK Inc</t>
  </si>
  <si>
    <t>airg</t>
  </si>
  <si>
    <t>Airgain Inc</t>
  </si>
  <si>
    <t>plxs</t>
  </si>
  <si>
    <t>Plexus Corp</t>
  </si>
  <si>
    <t>aeis</t>
  </si>
  <si>
    <t>Advanced Energy Industries Inc</t>
  </si>
  <si>
    <t>tdy</t>
  </si>
  <si>
    <t>Teledyne Technologies Inc</t>
  </si>
  <si>
    <t>gnrc</t>
  </si>
  <si>
    <t>Generac Holdings Inc</t>
  </si>
  <si>
    <t>mvis</t>
  </si>
  <si>
    <t>MicroVision Inc</t>
  </si>
  <si>
    <t>powl</t>
  </si>
  <si>
    <t>Powell Industries Inc</t>
  </si>
  <si>
    <t>akts</t>
  </si>
  <si>
    <t>Akoustis Technologies Inc</t>
  </si>
  <si>
    <t>zbra</t>
  </si>
  <si>
    <t>Zebra Technologies Corp</t>
  </si>
  <si>
    <t>aatc</t>
  </si>
  <si>
    <t>Autoscope Technologies Corp</t>
  </si>
  <si>
    <t>fn</t>
  </si>
  <si>
    <t>Fabrinet</t>
  </si>
  <si>
    <t>ppsi</t>
  </si>
  <si>
    <t>Pioneer Power Solutions Inc</t>
  </si>
  <si>
    <t>shls</t>
  </si>
  <si>
    <t>Shoals Technologies Group Inc</t>
  </si>
  <si>
    <t>aey</t>
  </si>
  <si>
    <t>ADDvantage Technologies Group Inc</t>
  </si>
  <si>
    <t>rok</t>
  </si>
  <si>
    <t>Rockwell Automation Inc</t>
  </si>
  <si>
    <t>zepp</t>
  </si>
  <si>
    <t>Zepp Health Corp</t>
  </si>
  <si>
    <t>adn</t>
  </si>
  <si>
    <t>Advent Technologies Holdings Inc</t>
  </si>
  <si>
    <t>cdw</t>
  </si>
  <si>
    <t>CDW Corp</t>
  </si>
  <si>
    <t>utme</t>
  </si>
  <si>
    <t>Utime Ltd</t>
  </si>
  <si>
    <t>glw</t>
  </si>
  <si>
    <t>Corning Inc</t>
  </si>
  <si>
    <t>tel</t>
  </si>
  <si>
    <t>TE Connectivity Ltd</t>
  </si>
  <si>
    <t>pola</t>
  </si>
  <si>
    <t>Polar Power Inc</t>
  </si>
  <si>
    <t>cop</t>
  </si>
  <si>
    <t>Conocophillips</t>
  </si>
  <si>
    <t>Energy</t>
  </si>
  <si>
    <t>pxd</t>
  </si>
  <si>
    <t>Pioneer Natural Resources Co</t>
  </si>
  <si>
    <t>mpc</t>
  </si>
  <si>
    <t>Marathon Petroleum Corp</t>
  </si>
  <si>
    <t>oke</t>
  </si>
  <si>
    <t>ONEOK Inc</t>
  </si>
  <si>
    <t>vlo</t>
  </si>
  <si>
    <t>Valero Energy Corp</t>
  </si>
  <si>
    <t>psx</t>
  </si>
  <si>
    <t>Phillips 66</t>
  </si>
  <si>
    <t>ctra</t>
  </si>
  <si>
    <t>Coterra Energy Inc</t>
  </si>
  <si>
    <t>xom</t>
  </si>
  <si>
    <t>Exxon Mobil Corp</t>
  </si>
  <si>
    <t>dvn</t>
  </si>
  <si>
    <t>Devon Energy Corp</t>
  </si>
  <si>
    <t>apa</t>
  </si>
  <si>
    <t>APA Corp (US)</t>
  </si>
  <si>
    <t>mro</t>
  </si>
  <si>
    <t>Marathon Oil Corp</t>
  </si>
  <si>
    <t>hes</t>
  </si>
  <si>
    <t>Hess Corp</t>
  </si>
  <si>
    <t>oxy</t>
  </si>
  <si>
    <t>Occidental Petroleum Corp</t>
  </si>
  <si>
    <t>wmb</t>
  </si>
  <si>
    <t>Williams Companies Inc</t>
  </si>
  <si>
    <t>fang</t>
  </si>
  <si>
    <t>Diamondback Energy Inc</t>
  </si>
  <si>
    <t>eog</t>
  </si>
  <si>
    <t>EOG Resources Inc</t>
  </si>
  <si>
    <t>useg</t>
  </si>
  <si>
    <t>US Energy Corp</t>
  </si>
  <si>
    <t>hep</t>
  </si>
  <si>
    <t>Holly Energy Partners LP</t>
  </si>
  <si>
    <t>hesm</t>
  </si>
  <si>
    <t>Hess Midstream LP</t>
  </si>
  <si>
    <t>pnrg</t>
  </si>
  <si>
    <t>Primeenergy Resources Corp</t>
  </si>
  <si>
    <t>cvx</t>
  </si>
  <si>
    <t>Chevron Corp</t>
  </si>
  <si>
    <t>msci</t>
  </si>
  <si>
    <t>MSCI Inc</t>
  </si>
  <si>
    <t>Financial Services</t>
  </si>
  <si>
    <t>bx</t>
  </si>
  <si>
    <t>Blackstone Inc</t>
  </si>
  <si>
    <t>act</t>
  </si>
  <si>
    <t>Enact Holdings Inc</t>
  </si>
  <si>
    <t>ms</t>
  </si>
  <si>
    <t>Morgan Stanley</t>
  </si>
  <si>
    <t>trow</t>
  </si>
  <si>
    <t>T Rowe Price Group Inc</t>
  </si>
  <si>
    <t>cof</t>
  </si>
  <si>
    <t>Capital One Financial Corp</t>
  </si>
  <si>
    <t>gs</t>
  </si>
  <si>
    <t>Goldman Sachs Group Inc</t>
  </si>
  <si>
    <t>rjf</t>
  </si>
  <si>
    <t>Raymond James Financial Inc</t>
  </si>
  <si>
    <t>ndaq</t>
  </si>
  <si>
    <t>Nasdaq Inc</t>
  </si>
  <si>
    <t>schw</t>
  </si>
  <si>
    <t>Charles Schwab Corp</t>
  </si>
  <si>
    <t>praa</t>
  </si>
  <si>
    <t>PRA Group Inc</t>
  </si>
  <si>
    <t>bk</t>
  </si>
  <si>
    <t>Bank of New York Mellon Corp</t>
  </si>
  <si>
    <t>spgi</t>
  </si>
  <si>
    <t>S&amp;P Global Inc</t>
  </si>
  <si>
    <t>mco</t>
  </si>
  <si>
    <t>Moody's Corp</t>
  </si>
  <si>
    <t>ben</t>
  </si>
  <si>
    <t>Franklin Resources Inc</t>
  </si>
  <si>
    <t>amp</t>
  </si>
  <si>
    <t>Ameriprise Financial Inc</t>
  </si>
  <si>
    <t>dfs</t>
  </si>
  <si>
    <t>Discover Financial Services</t>
  </si>
  <si>
    <t>syf</t>
  </si>
  <si>
    <t>Synchrony Financial</t>
  </si>
  <si>
    <t>clst</t>
  </si>
  <si>
    <t>Catalyst Bancorp Inc</t>
  </si>
  <si>
    <t>sieb</t>
  </si>
  <si>
    <t>Siebert Financial Corp</t>
  </si>
  <si>
    <t>cme</t>
  </si>
  <si>
    <t>CME Group Inc</t>
  </si>
  <si>
    <t>ntrs</t>
  </si>
  <si>
    <t>Northern Trust Corp</t>
  </si>
  <si>
    <t>actg</t>
  </si>
  <si>
    <t>Acacia Research Corp</t>
  </si>
  <si>
    <t>axp</t>
  </si>
  <si>
    <t>American Express Co</t>
  </si>
  <si>
    <t>mktx</t>
  </si>
  <si>
    <t>Marketaxess Holdings Inc</t>
  </si>
  <si>
    <t>stt</t>
  </si>
  <si>
    <t>State Street Corp</t>
  </si>
  <si>
    <t>hbcp</t>
  </si>
  <si>
    <t>Home Bancorp Inc</t>
  </si>
  <si>
    <t>aihs</t>
  </si>
  <si>
    <t>Senmiao Technology Ltd</t>
  </si>
  <si>
    <t>cnne</t>
  </si>
  <si>
    <t>Cannae Holdings Inc</t>
  </si>
  <si>
    <t>xyf</t>
  </si>
  <si>
    <t>X Financial</t>
  </si>
  <si>
    <t>cnf</t>
  </si>
  <si>
    <t>CNFinance Holdings Ltd</t>
  </si>
  <si>
    <t>agmh</t>
  </si>
  <si>
    <t>AGM Group Holdings Inc</t>
  </si>
  <si>
    <t>yrd</t>
  </si>
  <si>
    <t>Yiren Digital Ltd</t>
  </si>
  <si>
    <t>gis</t>
  </si>
  <si>
    <t>General Mills Inc</t>
  </si>
  <si>
    <t>Food Products</t>
  </si>
  <si>
    <t>adm</t>
  </si>
  <si>
    <t>Archer-Daniels-Midland Co</t>
  </si>
  <si>
    <t>tsn</t>
  </si>
  <si>
    <t>Tyson Foods Inc</t>
  </si>
  <si>
    <t>hrl</t>
  </si>
  <si>
    <t>Hormel Foods Corp</t>
  </si>
  <si>
    <t>hsy</t>
  </si>
  <si>
    <t>Hershey Co</t>
  </si>
  <si>
    <t>cag</t>
  </si>
  <si>
    <t>Conagra Brands Inc</t>
  </si>
  <si>
    <t>mdlz</t>
  </si>
  <si>
    <t>Mondelez International Inc</t>
  </si>
  <si>
    <t>hain</t>
  </si>
  <si>
    <t>Hain Celestial Group Inc</t>
  </si>
  <si>
    <t>cpb</t>
  </si>
  <si>
    <t>Campbell Soup Co</t>
  </si>
  <si>
    <t>alco</t>
  </si>
  <si>
    <t>Alico Inc</t>
  </si>
  <si>
    <t>mkc</t>
  </si>
  <si>
    <t>McCormick &amp; Company Inc</t>
  </si>
  <si>
    <t>agri</t>
  </si>
  <si>
    <t>AgriFORCE Growing Systems Ltd</t>
  </si>
  <si>
    <t>ppc</t>
  </si>
  <si>
    <t>Pilgrims Pride Corp</t>
  </si>
  <si>
    <t>lw</t>
  </si>
  <si>
    <t>Lamb Weston Holdings Inc</t>
  </si>
  <si>
    <t>bdx</t>
  </si>
  <si>
    <t>Becton Dickinson and Co</t>
  </si>
  <si>
    <t>Health Care</t>
  </si>
  <si>
    <t>bsx</t>
  </si>
  <si>
    <t>Boston Scientific Corp</t>
  </si>
  <si>
    <t>uhs</t>
  </si>
  <si>
    <t>Universal Health Services Inc</t>
  </si>
  <si>
    <t>cnc</t>
  </si>
  <si>
    <t>Centene Corp</t>
  </si>
  <si>
    <t>hcat</t>
  </si>
  <si>
    <t>Health Catalyst Inc</t>
  </si>
  <si>
    <t>hca</t>
  </si>
  <si>
    <t>HCA Healthcare Inc</t>
  </si>
  <si>
    <t>zbh</t>
  </si>
  <si>
    <t>Zimmer Biomet Holdings Inc</t>
  </si>
  <si>
    <t>cvs</t>
  </si>
  <si>
    <t>CVS Health Corp</t>
  </si>
  <si>
    <t>holx</t>
  </si>
  <si>
    <t>Hologic Inc</t>
  </si>
  <si>
    <t>xray</t>
  </si>
  <si>
    <t>DENTSPLY SIRONA Inc</t>
  </si>
  <si>
    <t>ci</t>
  </si>
  <si>
    <t>Cigna Corp</t>
  </si>
  <si>
    <t>mdt</t>
  </si>
  <si>
    <t>Medtronic PLC</t>
  </si>
  <si>
    <t>syk</t>
  </si>
  <si>
    <t>Stryker Corp</t>
  </si>
  <si>
    <t>abmd</t>
  </si>
  <si>
    <t>ABIOMED Inc</t>
  </si>
  <si>
    <t>abt</t>
  </si>
  <si>
    <t>Abbott Laboratories</t>
  </si>
  <si>
    <t>abc</t>
  </si>
  <si>
    <t>Amerisourcebergen Corp</t>
  </si>
  <si>
    <t>cah</t>
  </si>
  <si>
    <t>Cardinal Health Inc</t>
  </si>
  <si>
    <t>bax</t>
  </si>
  <si>
    <t>Baxter International Inc</t>
  </si>
  <si>
    <t>ste</t>
  </si>
  <si>
    <t>STERIS plc</t>
  </si>
  <si>
    <t>mck</t>
  </si>
  <si>
    <t>Mckesson Corp</t>
  </si>
  <si>
    <t>aku</t>
  </si>
  <si>
    <t>Akumin Inc</t>
  </si>
  <si>
    <t>unh</t>
  </si>
  <si>
    <t>UnitedHealth Group Inc</t>
  </si>
  <si>
    <t>coo</t>
  </si>
  <si>
    <t>Cooper Companies Inc</t>
  </si>
  <si>
    <t>hum</t>
  </si>
  <si>
    <t>Humana Inc</t>
  </si>
  <si>
    <t>hae</t>
  </si>
  <si>
    <t>Haemonetics Corp</t>
  </si>
  <si>
    <t>cnmd</t>
  </si>
  <si>
    <t>Conmed Corp</t>
  </si>
  <si>
    <t>rmd</t>
  </si>
  <si>
    <t>Resmed Inc</t>
  </si>
  <si>
    <t>ew</t>
  </si>
  <si>
    <t>Edwards Lifesciences Corp</t>
  </si>
  <si>
    <t>dva</t>
  </si>
  <si>
    <t>DaVita Inc</t>
  </si>
  <si>
    <t>poai</t>
  </si>
  <si>
    <t>Predictive Oncology Inc</t>
  </si>
  <si>
    <t>achc</t>
  </si>
  <si>
    <t>Acadia Healthcare Company Inc</t>
  </si>
  <si>
    <t>aemd</t>
  </si>
  <si>
    <t>Aethlon Medical Inc</t>
  </si>
  <si>
    <t>algn</t>
  </si>
  <si>
    <t>Align Technology Inc</t>
  </si>
  <si>
    <t>aih</t>
  </si>
  <si>
    <t>Aesthetic Medical International Holdings Group Ltd</t>
  </si>
  <si>
    <t>ahpi</t>
  </si>
  <si>
    <t>Allied Healthcare Products Inc</t>
  </si>
  <si>
    <t>sien</t>
  </si>
  <si>
    <t>Sientra Inc</t>
  </si>
  <si>
    <t>pntg</t>
  </si>
  <si>
    <t>Pennant Group Inc</t>
  </si>
  <si>
    <t>accd</t>
  </si>
  <si>
    <t>Accolade Inc</t>
  </si>
  <si>
    <t>dgx</t>
  </si>
  <si>
    <t>Quest Diagnostics Inc</t>
  </si>
  <si>
    <t>utmd</t>
  </si>
  <si>
    <t>Utah Medical Products Inc</t>
  </si>
  <si>
    <t>prct</t>
  </si>
  <si>
    <t>Procept Biorobotics Corp</t>
  </si>
  <si>
    <t>dxcm</t>
  </si>
  <si>
    <t>Dexcom Inc</t>
  </si>
  <si>
    <t>sibn</t>
  </si>
  <si>
    <t>SI-BONE Inc</t>
  </si>
  <si>
    <t>ahco</t>
  </si>
  <si>
    <t>Adapthealth Corp</t>
  </si>
  <si>
    <t>podd</t>
  </si>
  <si>
    <t>Insulet Corp</t>
  </si>
  <si>
    <t>afib</t>
  </si>
  <si>
    <t>Acutus Medical Inc</t>
  </si>
  <si>
    <t>adus</t>
  </si>
  <si>
    <t>Addus Homecare Corp</t>
  </si>
  <si>
    <t>airs</t>
  </si>
  <si>
    <t>Airsculpt Technologies Inc</t>
  </si>
  <si>
    <t>utrs</t>
  </si>
  <si>
    <t>Minerva Surgical Inc</t>
  </si>
  <si>
    <t>hsic</t>
  </si>
  <si>
    <t>Henry Schein Inc</t>
  </si>
  <si>
    <t>tfx</t>
  </si>
  <si>
    <t>Teleflex Inc</t>
  </si>
  <si>
    <t>alhc</t>
  </si>
  <si>
    <t>Alignment Healthcare LLC</t>
  </si>
  <si>
    <t>abnb</t>
  </si>
  <si>
    <t>Airbnb Inc</t>
  </si>
  <si>
    <t>Hotels Restaurants and Leisure</t>
  </si>
  <si>
    <t>lvs</t>
  </si>
  <si>
    <t>Las Vegas Sands Corp</t>
  </si>
  <si>
    <t>bkng</t>
  </si>
  <si>
    <t>Booking Holdings Inc</t>
  </si>
  <si>
    <t>ccl</t>
  </si>
  <si>
    <t>Carnival Corp</t>
  </si>
  <si>
    <t>sbux</t>
  </si>
  <si>
    <t>Starbucks Corp</t>
  </si>
  <si>
    <t>rcl</t>
  </si>
  <si>
    <t>Royal Caribbean Cruises Ltd</t>
  </si>
  <si>
    <t>mcd</t>
  </si>
  <si>
    <t>McDonald's Corp</t>
  </si>
  <si>
    <t>yum</t>
  </si>
  <si>
    <t>Yum! Brands Inc</t>
  </si>
  <si>
    <t>dri</t>
  </si>
  <si>
    <t>Darden Restaurants Inc</t>
  </si>
  <si>
    <t>nclh</t>
  </si>
  <si>
    <t>Norwegian Cruise Line Holdings Ltd</t>
  </si>
  <si>
    <t>mgm</t>
  </si>
  <si>
    <t>MGM Resorts International</t>
  </si>
  <si>
    <t>penn</t>
  </si>
  <si>
    <t>PENN Entertainment Inc</t>
  </si>
  <si>
    <t>expe</t>
  </si>
  <si>
    <t>Expedia Group Inc</t>
  </si>
  <si>
    <t>hlt</t>
  </si>
  <si>
    <t>Hilton Worldwide Holdings Inc</t>
  </si>
  <si>
    <t>czr</t>
  </si>
  <si>
    <t>Caesars Entertainment Inc</t>
  </si>
  <si>
    <t>cmg</t>
  </si>
  <si>
    <t>Chipotle Mexican Grill Inc</t>
  </si>
  <si>
    <t>yumc</t>
  </si>
  <si>
    <t>Yum China Holdings Inc</t>
  </si>
  <si>
    <t>mar</t>
  </si>
  <si>
    <t>Marriott International Inc</t>
  </si>
  <si>
    <t>wynn</t>
  </si>
  <si>
    <t>Wynn Resorts Ltd</t>
  </si>
  <si>
    <t>plya</t>
  </si>
  <si>
    <t>Playa Hotels &amp; Resorts NV</t>
  </si>
  <si>
    <t>dpz</t>
  </si>
  <si>
    <t>Domino's Pizza Inc</t>
  </si>
  <si>
    <t>aese</t>
  </si>
  <si>
    <t>Allied Esports Entertainment Inc</t>
  </si>
  <si>
    <t>hgv</t>
  </si>
  <si>
    <t>Hilton Grand Vacations Inc</t>
  </si>
  <si>
    <t>h</t>
  </si>
  <si>
    <t>Hyatt Hotels Corp</t>
  </si>
  <si>
    <t>hon</t>
  </si>
  <si>
    <t>Honeywell International Inc</t>
  </si>
  <si>
    <t>Industrial Conglomerates</t>
  </si>
  <si>
    <t>mmm</t>
  </si>
  <si>
    <t>3M Co</t>
  </si>
  <si>
    <t>ge</t>
  </si>
  <si>
    <t>General Electric Co</t>
  </si>
  <si>
    <t>lnc</t>
  </si>
  <si>
    <t>Lincoln National Corp</t>
  </si>
  <si>
    <t>Insurance</t>
  </si>
  <si>
    <t>cna</t>
  </si>
  <si>
    <t>CNA Financial Corp</t>
  </si>
  <si>
    <t>ajg</t>
  </si>
  <si>
    <t>Arthur J. Gallagher &amp; Co.</t>
  </si>
  <si>
    <t>pfg</t>
  </si>
  <si>
    <t>Principal Financial Group Inc</t>
  </si>
  <si>
    <t>aig</t>
  </si>
  <si>
    <t>American International Group Inc</t>
  </si>
  <si>
    <t>cno</t>
  </si>
  <si>
    <t>CNO Financial Group Inc</t>
  </si>
  <si>
    <t>met</t>
  </si>
  <si>
    <t>MetLife Inc</t>
  </si>
  <si>
    <t>l</t>
  </si>
  <si>
    <t>Loews Corp</t>
  </si>
  <si>
    <t>hig</t>
  </si>
  <si>
    <t>Hartford Financial Services Group Inc</t>
  </si>
  <si>
    <t>acgl</t>
  </si>
  <si>
    <t>Arch Capital Group Ltd</t>
  </si>
  <si>
    <t>mmc</t>
  </si>
  <si>
    <t>Marsh &amp; McLennan Companies Inc</t>
  </si>
  <si>
    <t>trv</t>
  </si>
  <si>
    <t>Travelers Companies Inc</t>
  </si>
  <si>
    <t>re</t>
  </si>
  <si>
    <t>Everest Re Group Ltd</t>
  </si>
  <si>
    <t>aon</t>
  </si>
  <si>
    <t>Aon PLC</t>
  </si>
  <si>
    <t>aiz</t>
  </si>
  <si>
    <t>Assurant Inc</t>
  </si>
  <si>
    <t>all</t>
  </si>
  <si>
    <t>Allstate Corp</t>
  </si>
  <si>
    <t>bro</t>
  </si>
  <si>
    <t>Brown &amp; Brown Inc</t>
  </si>
  <si>
    <t>afl</t>
  </si>
  <si>
    <t>Aflac Inc</t>
  </si>
  <si>
    <t>pgr</t>
  </si>
  <si>
    <t>Progressive Corp</t>
  </si>
  <si>
    <t>wrb</t>
  </si>
  <si>
    <t>W R Berkley Corp</t>
  </si>
  <si>
    <t>pru</t>
  </si>
  <si>
    <t>Prudential Financial Inc</t>
  </si>
  <si>
    <t>hci</t>
  </si>
  <si>
    <t>Hci Group Inc</t>
  </si>
  <si>
    <t>cinf</t>
  </si>
  <si>
    <t>Cincinnati Financial Corp</t>
  </si>
  <si>
    <t>y</t>
  </si>
  <si>
    <t>Alleghany Corp</t>
  </si>
  <si>
    <t>hall</t>
  </si>
  <si>
    <t>Hallmark Financial Services Inc</t>
  </si>
  <si>
    <t>aame</t>
  </si>
  <si>
    <t>Atlantic American Corp</t>
  </si>
  <si>
    <t>gl</t>
  </si>
  <si>
    <t>Globe Life Inc</t>
  </si>
  <si>
    <t>has</t>
  </si>
  <si>
    <t>Hasbro Inc</t>
  </si>
  <si>
    <t>Leisure Products</t>
  </si>
  <si>
    <t>yeti</t>
  </si>
  <si>
    <t>Yeti Holdings Inc</t>
  </si>
  <si>
    <t>poww</t>
  </si>
  <si>
    <t>Ammo Inc</t>
  </si>
  <si>
    <t>dhr</t>
  </si>
  <si>
    <t>Danaher Corp</t>
  </si>
  <si>
    <t>Life Sciences Tools and Services</t>
  </si>
  <si>
    <t>abcl</t>
  </si>
  <si>
    <t>Abcellera Biologics Inc</t>
  </si>
  <si>
    <t>wst</t>
  </si>
  <si>
    <t>West Pharmaceutical Services Inc</t>
  </si>
  <si>
    <t>pki</t>
  </si>
  <si>
    <t>PerkinElmer Inc</t>
  </si>
  <si>
    <t>tmo</t>
  </si>
  <si>
    <t>Thermo Fisher Scientific Inc</t>
  </si>
  <si>
    <t>tech</t>
  </si>
  <si>
    <t>Bio-Techne Corp</t>
  </si>
  <si>
    <t>crl</t>
  </si>
  <si>
    <t>Charles River Laboratories International Inc</t>
  </si>
  <si>
    <t>mtd</t>
  </si>
  <si>
    <t>Mettler-Toledo International Inc</t>
  </si>
  <si>
    <t>a</t>
  </si>
  <si>
    <t>Agilent Technologies Inc</t>
  </si>
  <si>
    <t>akya</t>
  </si>
  <si>
    <t>Akoya Biosciences Inc</t>
  </si>
  <si>
    <t>adpt</t>
  </si>
  <si>
    <t>Adaptive Biotechnologies Corp</t>
  </si>
  <si>
    <t>bio</t>
  </si>
  <si>
    <t>Bio Rad Laboratories Inc</t>
  </si>
  <si>
    <t>wat</t>
  </si>
  <si>
    <t>Waters Corp</t>
  </si>
  <si>
    <t>hbio</t>
  </si>
  <si>
    <t>Harvard Bioscience Inc</t>
  </si>
  <si>
    <t>mxct</t>
  </si>
  <si>
    <t>MaxCyte Inc</t>
  </si>
  <si>
    <t>absi</t>
  </si>
  <si>
    <t>Absci Corp</t>
  </si>
  <si>
    <t>chrw</t>
  </si>
  <si>
    <t>CH Robinson Worldwide Inc</t>
  </si>
  <si>
    <t>Logistics and Transportation</t>
  </si>
  <si>
    <t>ups</t>
  </si>
  <si>
    <t>United Parcel Service Inc</t>
  </si>
  <si>
    <t>expd</t>
  </si>
  <si>
    <t>Expeditors International of Washington Inc</t>
  </si>
  <si>
    <t>aaww</t>
  </si>
  <si>
    <t>Atlas Air Worldwide Holdings Inc</t>
  </si>
  <si>
    <t>fdx</t>
  </si>
  <si>
    <t>FedEx Corp</t>
  </si>
  <si>
    <t>airt</t>
  </si>
  <si>
    <t>Air T Inc</t>
  </si>
  <si>
    <t>wab</t>
  </si>
  <si>
    <t>Westinghouse Air Brake Technologies Corp</t>
  </si>
  <si>
    <t>Machinery</t>
  </si>
  <si>
    <t>pcar</t>
  </si>
  <si>
    <t>Paccar Inc</t>
  </si>
  <si>
    <t>agfy</t>
  </si>
  <si>
    <t>Agrify Corp</t>
  </si>
  <si>
    <t>de</t>
  </si>
  <si>
    <t>Deere &amp; Co</t>
  </si>
  <si>
    <t>ftv</t>
  </si>
  <si>
    <t>Fortive Corp</t>
  </si>
  <si>
    <t>swk</t>
  </si>
  <si>
    <t>Stanley Black &amp; Decker Inc</t>
  </si>
  <si>
    <t>zev</t>
  </si>
  <si>
    <t>Lightning eMotors Inc</t>
  </si>
  <si>
    <t>aimc</t>
  </si>
  <si>
    <t>Altra Industrial Motion Corp</t>
  </si>
  <si>
    <t>hi</t>
  </si>
  <si>
    <t>Hillenbrand Inc</t>
  </si>
  <si>
    <t>cmi</t>
  </si>
  <si>
    <t>Cummins Inc</t>
  </si>
  <si>
    <t>dov</t>
  </si>
  <si>
    <t>Dover Corp</t>
  </si>
  <si>
    <t>shyf</t>
  </si>
  <si>
    <t>Shyft Group Inc</t>
  </si>
  <si>
    <t>pnr</t>
  </si>
  <si>
    <t>Pentair PLC</t>
  </si>
  <si>
    <t>sna</t>
  </si>
  <si>
    <t>Snap-On Inc</t>
  </si>
  <si>
    <t>ppih</t>
  </si>
  <si>
    <t>Perma-Pipe International Holdings Inc</t>
  </si>
  <si>
    <t>wts</t>
  </si>
  <si>
    <t>Watts Water Technologies Inc</t>
  </si>
  <si>
    <t>ph</t>
  </si>
  <si>
    <t>Parker-Hannifin Corp</t>
  </si>
  <si>
    <t>xyl</t>
  </si>
  <si>
    <t>Xylem Inc</t>
  </si>
  <si>
    <t>cmco</t>
  </si>
  <si>
    <t>Columbus McKinnon Corp</t>
  </si>
  <si>
    <t>mvst</t>
  </si>
  <si>
    <t>Microvast Holdings Inc</t>
  </si>
  <si>
    <t>cat</t>
  </si>
  <si>
    <t>Caterpillar Inc</t>
  </si>
  <si>
    <t>zim</t>
  </si>
  <si>
    <t>ZIM Integrated Shipping Services Ltd</t>
  </si>
  <si>
    <t>Marine</t>
  </si>
  <si>
    <t>ship</t>
  </si>
  <si>
    <t>Seanergy Maritime Holdings Corp</t>
  </si>
  <si>
    <t>cmre</t>
  </si>
  <si>
    <t>Costamare Inc</t>
  </si>
  <si>
    <t>omc</t>
  </si>
  <si>
    <t>Omnicom Group Inc</t>
  </si>
  <si>
    <t>Media</t>
  </si>
  <si>
    <t>cmcsa</t>
  </si>
  <si>
    <t>Comcast Corp</t>
  </si>
  <si>
    <t>dis</t>
  </si>
  <si>
    <t>Walt Disney Co</t>
  </si>
  <si>
    <t>adv</t>
  </si>
  <si>
    <t>Advantage Solutions Inc</t>
  </si>
  <si>
    <t>nwsa</t>
  </si>
  <si>
    <t>News Corp</t>
  </si>
  <si>
    <t>chtr</t>
  </si>
  <si>
    <t>Charter Communications Inc</t>
  </si>
  <si>
    <t>lyv</t>
  </si>
  <si>
    <t>Live Nation Entertainment Inc</t>
  </si>
  <si>
    <t>spot</t>
  </si>
  <si>
    <t>Spotify Technology SA</t>
  </si>
  <si>
    <t>googl</t>
  </si>
  <si>
    <t>Alphabet Inc</t>
  </si>
  <si>
    <t>yelp</t>
  </si>
  <si>
    <t>Yelp Inc</t>
  </si>
  <si>
    <t>atvi</t>
  </si>
  <si>
    <t>Activision Blizzard Inc</t>
  </si>
  <si>
    <t>mtch</t>
  </si>
  <si>
    <t>Match Group Inc</t>
  </si>
  <si>
    <t>foxa</t>
  </si>
  <si>
    <t>Fox Corp</t>
  </si>
  <si>
    <t>cnk</t>
  </si>
  <si>
    <t>Cinemark Holdings Inc</t>
  </si>
  <si>
    <t>wwe</t>
  </si>
  <si>
    <t>World Wrestling Entertainment Inc</t>
  </si>
  <si>
    <t>ea</t>
  </si>
  <si>
    <t>Electronic Arts Inc</t>
  </si>
  <si>
    <t>ttwo</t>
  </si>
  <si>
    <t>Take-Two Interactive Software Inc</t>
  </si>
  <si>
    <t>sj</t>
  </si>
  <si>
    <t>Scienjoy Holding Corp</t>
  </si>
  <si>
    <t>siri</t>
  </si>
  <si>
    <t>Sirius XM Holdings Inc</t>
  </si>
  <si>
    <t>yala</t>
  </si>
  <si>
    <t>Yalla Group Ltd</t>
  </si>
  <si>
    <t>dish</t>
  </si>
  <si>
    <t>DISH Network Corp</t>
  </si>
  <si>
    <t>meta</t>
  </si>
  <si>
    <t>Meta Platforms Inc</t>
  </si>
  <si>
    <t>myps</t>
  </si>
  <si>
    <t>Playstudios Inc</t>
  </si>
  <si>
    <t>hcc</t>
  </si>
  <si>
    <t>Warrior Met Coal Inc</t>
  </si>
  <si>
    <t>Metals and Mining</t>
  </si>
  <si>
    <t>nem</t>
  </si>
  <si>
    <t>Newmont Corporation</t>
  </si>
  <si>
    <t>fcx</t>
  </si>
  <si>
    <t>Freeport-McMoRan Inc</t>
  </si>
  <si>
    <t>x</t>
  </si>
  <si>
    <t>United States Steel Corp</t>
  </si>
  <si>
    <t>cmp</t>
  </si>
  <si>
    <t>Compass Minerals International Inc</t>
  </si>
  <si>
    <t>hayn</t>
  </si>
  <si>
    <t>Haynes International Inc</t>
  </si>
  <si>
    <t>usau</t>
  </si>
  <si>
    <t>US Gold Corp</t>
  </si>
  <si>
    <t>nue</t>
  </si>
  <si>
    <t>Nucor Corp</t>
  </si>
  <si>
    <t>usap</t>
  </si>
  <si>
    <t>Universal Stainless &amp; Alloy Products Inc</t>
  </si>
  <si>
    <t>cmc</t>
  </si>
  <si>
    <t>Commercial Metals Co</t>
  </si>
  <si>
    <t>avy</t>
  </si>
  <si>
    <t>Avery Dennison Corp</t>
  </si>
  <si>
    <t>Packaging</t>
  </si>
  <si>
    <t>wrk</t>
  </si>
  <si>
    <t>Westrock Co</t>
  </si>
  <si>
    <t>see</t>
  </si>
  <si>
    <t>Sealed Air Corp</t>
  </si>
  <si>
    <t>pkg</t>
  </si>
  <si>
    <t>Packaging Corp of America</t>
  </si>
  <si>
    <t>lly</t>
  </si>
  <si>
    <t>Eli Lilly and Co</t>
  </si>
  <si>
    <t>Pharmaceuticals</t>
  </si>
  <si>
    <t>zts</t>
  </si>
  <si>
    <t>Zoetis Inc</t>
  </si>
  <si>
    <t>jnj</t>
  </si>
  <si>
    <t>Johnson &amp; Johnson</t>
  </si>
  <si>
    <t>ogn</t>
  </si>
  <si>
    <t>Organon &amp; Co</t>
  </si>
  <si>
    <t>bmy</t>
  </si>
  <si>
    <t>Bristol-Myers Squibb Co</t>
  </si>
  <si>
    <t>mrk</t>
  </si>
  <si>
    <t>Merck &amp; Co Inc</t>
  </si>
  <si>
    <t>pfe</t>
  </si>
  <si>
    <t>Pfizer Inc</t>
  </si>
  <si>
    <t>ctlt</t>
  </si>
  <si>
    <t>Catalent Inc</t>
  </si>
  <si>
    <t>aeri</t>
  </si>
  <si>
    <t>Aerie Pharmaceuticals Inc</t>
  </si>
  <si>
    <t>vtrs</t>
  </si>
  <si>
    <t>Viatris Inc</t>
  </si>
  <si>
    <t>acer</t>
  </si>
  <si>
    <t>Acer Therapeutics Inc</t>
  </si>
  <si>
    <t>aktx</t>
  </si>
  <si>
    <t>Akari Therapeutics PLC</t>
  </si>
  <si>
    <t>acrx</t>
  </si>
  <si>
    <t>AcelRx Pharmaceuticals Inc</t>
  </si>
  <si>
    <t>admp</t>
  </si>
  <si>
    <t>Adamis Pharmaceuticals Corp</t>
  </si>
  <si>
    <t>adil</t>
  </si>
  <si>
    <t>Adial Pharmaceuticals Inc</t>
  </si>
  <si>
    <t>agrx</t>
  </si>
  <si>
    <t>Agile Therapeutics Inc</t>
  </si>
  <si>
    <t>mymd</t>
  </si>
  <si>
    <t>MyMD Pharmaceuticals Inc</t>
  </si>
  <si>
    <t>alim</t>
  </si>
  <si>
    <t>Alimera Sciences Inc</t>
  </si>
  <si>
    <t>clvr</t>
  </si>
  <si>
    <t>Clever Leaves Holdings Inc</t>
  </si>
  <si>
    <t>acrs</t>
  </si>
  <si>
    <t>Aclaris Therapeutics Inc</t>
  </si>
  <si>
    <t>clsd</t>
  </si>
  <si>
    <t>Clearside Biomedical Inc</t>
  </si>
  <si>
    <t>vrsk</t>
  </si>
  <si>
    <t>Verisk Analytics Inc</t>
  </si>
  <si>
    <t>Professional Services</t>
  </si>
  <si>
    <t>tru</t>
  </si>
  <si>
    <t>TransUnion</t>
  </si>
  <si>
    <t>nlsn</t>
  </si>
  <si>
    <t>Nielsen Holdings PLC</t>
  </si>
  <si>
    <t>ldos</t>
  </si>
  <si>
    <t>Leidos Holdings Inc</t>
  </si>
  <si>
    <t>efx</t>
  </si>
  <si>
    <t>Equifax Inc</t>
  </si>
  <si>
    <t>rhi</t>
  </si>
  <si>
    <t>Robert Half International Inc</t>
  </si>
  <si>
    <t>upwk</t>
  </si>
  <si>
    <t>Upwork Inc</t>
  </si>
  <si>
    <t>hasi</t>
  </si>
  <si>
    <t>Hannon Armstrong Sustainable Infrastructure Capital Inc</t>
  </si>
  <si>
    <t>Real Estate</t>
  </si>
  <si>
    <t>wy</t>
  </si>
  <si>
    <t>Weyerhaeuser Co</t>
  </si>
  <si>
    <t>reg</t>
  </si>
  <si>
    <t>Regency Centers Corp</t>
  </si>
  <si>
    <t>are</t>
  </si>
  <si>
    <t>Alexandria Real Estate Equities Inc</t>
  </si>
  <si>
    <t>pld</t>
  </si>
  <si>
    <t>Prologis Inc</t>
  </si>
  <si>
    <t>peak</t>
  </si>
  <si>
    <t>Healthpeak Properties Inc</t>
  </si>
  <si>
    <t>vno</t>
  </si>
  <si>
    <t>Vornado Realty Trust</t>
  </si>
  <si>
    <t>bxp</t>
  </si>
  <si>
    <t>Boston Properties Inc</t>
  </si>
  <si>
    <t>amt</t>
  </si>
  <si>
    <t>American Tower Corp</t>
  </si>
  <si>
    <t>dlr</t>
  </si>
  <si>
    <t>Digital Realty Trust Inc</t>
  </si>
  <si>
    <t>dre</t>
  </si>
  <si>
    <t>Duke Realty Corp</t>
  </si>
  <si>
    <t>eqix</t>
  </si>
  <si>
    <t>Equinix Inc</t>
  </si>
  <si>
    <t>hst</t>
  </si>
  <si>
    <t>Host Hotels &amp; Resorts Inc</t>
  </si>
  <si>
    <t>frt</t>
  </si>
  <si>
    <t>Federal Realty Investment Trust</t>
  </si>
  <si>
    <t>vtr</t>
  </si>
  <si>
    <t>Ventas Inc</t>
  </si>
  <si>
    <t>o</t>
  </si>
  <si>
    <t>Realty Income Corp</t>
  </si>
  <si>
    <t>hhc</t>
  </si>
  <si>
    <t>Howard Hughes Corp</t>
  </si>
  <si>
    <t>avb</t>
  </si>
  <si>
    <t>Avalonbay Communities Inc</t>
  </si>
  <si>
    <t>exr</t>
  </si>
  <si>
    <t>Extra Space Storage Inc</t>
  </si>
  <si>
    <t>well</t>
  </si>
  <si>
    <t>Welltower OP LLC</t>
  </si>
  <si>
    <t>cci</t>
  </si>
  <si>
    <t>Crown Castle Inc</t>
  </si>
  <si>
    <t>aei</t>
  </si>
  <si>
    <t>Alset Ehome International Inc</t>
  </si>
  <si>
    <t>agnc</t>
  </si>
  <si>
    <t>AGNC Investment Corp</t>
  </si>
  <si>
    <t>ess</t>
  </si>
  <si>
    <t>Essex Property Trust Inc</t>
  </si>
  <si>
    <t>maa</t>
  </si>
  <si>
    <t>Mid-America Apartment Communities Inc</t>
  </si>
  <si>
    <t>trtx</t>
  </si>
  <si>
    <t>TPG RE Finance Trust Inc</t>
  </si>
  <si>
    <t>xhr</t>
  </si>
  <si>
    <t>Xenia Hotels &amp; Resorts Inc</t>
  </si>
  <si>
    <t>xin</t>
  </si>
  <si>
    <t>Xinyuan Real Estate Co Ltd</t>
  </si>
  <si>
    <t>udr</t>
  </si>
  <si>
    <t>UDR Inc</t>
  </si>
  <si>
    <t>sbac</t>
  </si>
  <si>
    <t>SBA Communications Corp</t>
  </si>
  <si>
    <t>gyro</t>
  </si>
  <si>
    <t>Gyrodyne LLC</t>
  </si>
  <si>
    <t>afcg</t>
  </si>
  <si>
    <t>AFC Gamma Inc</t>
  </si>
  <si>
    <t>psa</t>
  </si>
  <si>
    <t>Public Storage</t>
  </si>
  <si>
    <t>spg</t>
  </si>
  <si>
    <t>Simon Property Group Inc</t>
  </si>
  <si>
    <t>eqr</t>
  </si>
  <si>
    <t>Equity Residential</t>
  </si>
  <si>
    <t>cbre</t>
  </si>
  <si>
    <t>CBRE Group Inc</t>
  </si>
  <si>
    <t>amzn</t>
  </si>
  <si>
    <t>Amazon.com Inc</t>
  </si>
  <si>
    <t>Retail</t>
  </si>
  <si>
    <t>tgt</t>
  </si>
  <si>
    <t>Target Corp</t>
  </si>
  <si>
    <t>gps</t>
  </si>
  <si>
    <t>Gap Inc</t>
  </si>
  <si>
    <t>syy</t>
  </si>
  <si>
    <t>Sysco Corp</t>
  </si>
  <si>
    <t>wba</t>
  </si>
  <si>
    <t>Walgreens Boots Alliance Inc</t>
  </si>
  <si>
    <t>bbwi</t>
  </si>
  <si>
    <t>Bath &amp; Body Works Inc</t>
  </si>
  <si>
    <t>ebay</t>
  </si>
  <si>
    <t>eBay Inc</t>
  </si>
  <si>
    <t>orly</t>
  </si>
  <si>
    <t>O'Reilly Automotive Inc</t>
  </si>
  <si>
    <t>tjx</t>
  </si>
  <si>
    <t>TJX Companies Inc</t>
  </si>
  <si>
    <t>cost</t>
  </si>
  <si>
    <t>Costco Wholesale Corp</t>
  </si>
  <si>
    <t>rost</t>
  </si>
  <si>
    <t>Ross Stores Inc</t>
  </si>
  <si>
    <t>tsco</t>
  </si>
  <si>
    <t>Tractor Supply Co</t>
  </si>
  <si>
    <t>bby</t>
  </si>
  <si>
    <t>Best Buy Co Inc</t>
  </si>
  <si>
    <t>urbn</t>
  </si>
  <si>
    <t>Urban Outfitters Inc</t>
  </si>
  <si>
    <t>wmt</t>
  </si>
  <si>
    <t>Walmart Inc</t>
  </si>
  <si>
    <t>kmx</t>
  </si>
  <si>
    <t>Carmax Inc</t>
  </si>
  <si>
    <t>hd</t>
  </si>
  <si>
    <t>Home Depot Inc</t>
  </si>
  <si>
    <t>aap</t>
  </si>
  <si>
    <t>Advance Auto Parts Inc</t>
  </si>
  <si>
    <t>etsy</t>
  </si>
  <si>
    <t>ETSY Inc</t>
  </si>
  <si>
    <t>azo</t>
  </si>
  <si>
    <t>Autozone Inc</t>
  </si>
  <si>
    <t>dg</t>
  </si>
  <si>
    <t>Dollar General Corp</t>
  </si>
  <si>
    <t>prch</t>
  </si>
  <si>
    <t>Porch Group Inc</t>
  </si>
  <si>
    <t>dltr</t>
  </si>
  <si>
    <t>Dollar Tree Inc</t>
  </si>
  <si>
    <t>ulta</t>
  </si>
  <si>
    <t>Ulta Beauty Inc</t>
  </si>
  <si>
    <t>uxin</t>
  </si>
  <si>
    <t>Uxin Ltd</t>
  </si>
  <si>
    <t>low</t>
  </si>
  <si>
    <t>Lowe's Companies Inc</t>
  </si>
  <si>
    <t>xpo</t>
  </si>
  <si>
    <t>XPO Logistics Inc</t>
  </si>
  <si>
    <t>Road and Rail</t>
  </si>
  <si>
    <t>odfl</t>
  </si>
  <si>
    <t>Old Dominion Freight Line Inc</t>
  </si>
  <si>
    <t>usak</t>
  </si>
  <si>
    <t>USA Truck Inc</t>
  </si>
  <si>
    <t>csx</t>
  </si>
  <si>
    <t>CSX Corp</t>
  </si>
  <si>
    <t>nsc</t>
  </si>
  <si>
    <t>Norfolk Southern Corp</t>
  </si>
  <si>
    <t>unp</t>
  </si>
  <si>
    <t>Union Pacific Corp</t>
  </si>
  <si>
    <t>mxl</t>
  </si>
  <si>
    <t>Maxlinear Inc</t>
  </si>
  <si>
    <t>Semiconductors</t>
  </si>
  <si>
    <t>enph</t>
  </si>
  <si>
    <t>Enphase Energy Inc</t>
  </si>
  <si>
    <t>powi</t>
  </si>
  <si>
    <t>Power Integrations Inc</t>
  </si>
  <si>
    <t>mu</t>
  </si>
  <si>
    <t>Micron Technology Inc</t>
  </si>
  <si>
    <t>lrcx</t>
  </si>
  <si>
    <t>Lam Research Corp</t>
  </si>
  <si>
    <t>qrvo</t>
  </si>
  <si>
    <t>Qorvo Inc</t>
  </si>
  <si>
    <t>ter</t>
  </si>
  <si>
    <t>Teradyne Inc</t>
  </si>
  <si>
    <t>amat</t>
  </si>
  <si>
    <t>Applied Materials Inc</t>
  </si>
  <si>
    <t>nxpi</t>
  </si>
  <si>
    <t>NXP Semiconductors NV</t>
  </si>
  <si>
    <t>sitm</t>
  </si>
  <si>
    <t>SiTime Corp</t>
  </si>
  <si>
    <t>algm</t>
  </si>
  <si>
    <t>Allegro Microsystems Inc</t>
  </si>
  <si>
    <t>mchp</t>
  </si>
  <si>
    <t>Microchip Technology Inc</t>
  </si>
  <si>
    <t>txn</t>
  </si>
  <si>
    <t>Texas Instruments Inc</t>
  </si>
  <si>
    <t>swks</t>
  </si>
  <si>
    <t>Skyworks Solutions Inc</t>
  </si>
  <si>
    <t>acls</t>
  </si>
  <si>
    <t>Axcelis Technologies Inc</t>
  </si>
  <si>
    <t>qcom</t>
  </si>
  <si>
    <t>Qualcomm Inc</t>
  </si>
  <si>
    <t>adi</t>
  </si>
  <si>
    <t>Analog Devices Inc</t>
  </si>
  <si>
    <t>acmr</t>
  </si>
  <si>
    <t>ACM Research Inc</t>
  </si>
  <si>
    <t>mtsi</t>
  </si>
  <si>
    <t>MACOM Technology Solutions Holdings Inc</t>
  </si>
  <si>
    <t>nvda</t>
  </si>
  <si>
    <t>NVIDIA Corp</t>
  </si>
  <si>
    <t>aehr</t>
  </si>
  <si>
    <t>Aehr Test Systems</t>
  </si>
  <si>
    <t>mpwr</t>
  </si>
  <si>
    <t>Monolithic Power Systems Inc</t>
  </si>
  <si>
    <t>avgo</t>
  </si>
  <si>
    <t>Broadcom Inc</t>
  </si>
  <si>
    <t>amd</t>
  </si>
  <si>
    <t>Advanced Micro Devices Inc</t>
  </si>
  <si>
    <t>msft</t>
  </si>
  <si>
    <t>Microsoft Corp</t>
  </si>
  <si>
    <t>Technology</t>
  </si>
  <si>
    <t>now</t>
  </si>
  <si>
    <t>ServiceNow Inc</t>
  </si>
  <si>
    <t>ctsh</t>
  </si>
  <si>
    <t>Cognizant Technology Solutions Corp</t>
  </si>
  <si>
    <t>rop</t>
  </si>
  <si>
    <t>Roper Technologies Inc</t>
  </si>
  <si>
    <t>ntap</t>
  </si>
  <si>
    <t>NetApp Inc</t>
  </si>
  <si>
    <t>cday</t>
  </si>
  <si>
    <t>Ceridian HCM Holding Inc</t>
  </si>
  <si>
    <t>vrsn</t>
  </si>
  <si>
    <t>Verisign Inc</t>
  </si>
  <si>
    <t>clsk</t>
  </si>
  <si>
    <t>CleanSpark Inc</t>
  </si>
  <si>
    <t>anss</t>
  </si>
  <si>
    <t>ANSYS Inc</t>
  </si>
  <si>
    <t>gwre</t>
  </si>
  <si>
    <t>Guidewire Software Inc</t>
  </si>
  <si>
    <t>stx</t>
  </si>
  <si>
    <t>Seagate Technology Holdings PLC</t>
  </si>
  <si>
    <t>br</t>
  </si>
  <si>
    <t>Broadridge Financial Solutions Inc</t>
  </si>
  <si>
    <t>v</t>
  </si>
  <si>
    <t>Visa Inc</t>
  </si>
  <si>
    <t>acn</t>
  </si>
  <si>
    <t>Accenture PLC</t>
  </si>
  <si>
    <t>zen</t>
  </si>
  <si>
    <t>Zendesk Inc</t>
  </si>
  <si>
    <t>adsk</t>
  </si>
  <si>
    <t>Autodesk Inc</t>
  </si>
  <si>
    <t>akam</t>
  </si>
  <si>
    <t>Akamai Technologies Inc</t>
  </si>
  <si>
    <t>ptc</t>
  </si>
  <si>
    <t>PTC Inc</t>
  </si>
  <si>
    <t>snps</t>
  </si>
  <si>
    <t>Synopsys Inc</t>
  </si>
  <si>
    <t>wdc</t>
  </si>
  <si>
    <t>Western Digital Corp</t>
  </si>
  <si>
    <t>allt</t>
  </si>
  <si>
    <t>Allot Ltd</t>
  </si>
  <si>
    <t>ctxs</t>
  </si>
  <si>
    <t>Citrix Systems Inc</t>
  </si>
  <si>
    <t>fis</t>
  </si>
  <si>
    <t>Fidelity National Information Services Inc</t>
  </si>
  <si>
    <t>dxc</t>
  </si>
  <si>
    <t>DXC Technology Co</t>
  </si>
  <si>
    <t>it</t>
  </si>
  <si>
    <t>Gartner Inc</t>
  </si>
  <si>
    <t>hubs</t>
  </si>
  <si>
    <t>HubSpot Inc</t>
  </si>
  <si>
    <t>aciw</t>
  </si>
  <si>
    <t>ACI Worldwide Inc</t>
  </si>
  <si>
    <t>nlok</t>
  </si>
  <si>
    <t>NortonLifeLock Inc</t>
  </si>
  <si>
    <t>ftnt</t>
  </si>
  <si>
    <t>Fortinet Inc</t>
  </si>
  <si>
    <t>mtls</t>
  </si>
  <si>
    <t>Materialise NV</t>
  </si>
  <si>
    <t>agys</t>
  </si>
  <si>
    <t>Agilysys Inc</t>
  </si>
  <si>
    <t>cdns</t>
  </si>
  <si>
    <t>Cadence Design Systems Inc</t>
  </si>
  <si>
    <t>dell</t>
  </si>
  <si>
    <t>Dell Technologies Inc</t>
  </si>
  <si>
    <t>payc</t>
  </si>
  <si>
    <t>Paycom Software Inc</t>
  </si>
  <si>
    <t>aip</t>
  </si>
  <si>
    <t>Arteris Inc</t>
  </si>
  <si>
    <t>gvp</t>
  </si>
  <si>
    <t>GSE Systems Inc</t>
  </si>
  <si>
    <t>flt</t>
  </si>
  <si>
    <t>Fleetcor Technologies Inc</t>
  </si>
  <si>
    <t>tyl</t>
  </si>
  <si>
    <t>Tyler Technologies Inc</t>
  </si>
  <si>
    <t>fisv</t>
  </si>
  <si>
    <t>Fiserv Inc</t>
  </si>
  <si>
    <t>adp</t>
  </si>
  <si>
    <t>Automatic Data Processing Inc</t>
  </si>
  <si>
    <t>payx</t>
  </si>
  <si>
    <t>Paychex Inc</t>
  </si>
  <si>
    <t>orcl</t>
  </si>
  <si>
    <t>Oracle Corp</t>
  </si>
  <si>
    <t>you</t>
  </si>
  <si>
    <t>Clear Secure Inc</t>
  </si>
  <si>
    <t>yext</t>
  </si>
  <si>
    <t>Yext Inc</t>
  </si>
  <si>
    <t>agil</t>
  </si>
  <si>
    <t>AgileThought Inc</t>
  </si>
  <si>
    <t>mttr</t>
  </si>
  <si>
    <t>Matterport Inc</t>
  </si>
  <si>
    <t>gpn</t>
  </si>
  <si>
    <t>Global Payments Inc</t>
  </si>
  <si>
    <t>pypl</t>
  </si>
  <si>
    <t>PayPal Holdings Inc</t>
  </si>
  <si>
    <t>afrm</t>
  </si>
  <si>
    <t>Affirm Holdings Inc</t>
  </si>
  <si>
    <t>aapl</t>
  </si>
  <si>
    <t>Apple Inc</t>
  </si>
  <si>
    <t>alkt</t>
  </si>
  <si>
    <t>Alkami Technology Inc</t>
  </si>
  <si>
    <t>aeye</t>
  </si>
  <si>
    <t>AudioEye Inc</t>
  </si>
  <si>
    <t>hpe</t>
  </si>
  <si>
    <t>Hewlett Packard Enterprise Co</t>
  </si>
  <si>
    <t>alf</t>
  </si>
  <si>
    <t>Alfi Inc</t>
  </si>
  <si>
    <t>usio</t>
  </si>
  <si>
    <t>Usio Inc</t>
  </si>
  <si>
    <t>mtc</t>
  </si>
  <si>
    <t>MMTEC Inc</t>
  </si>
  <si>
    <t>zuo</t>
  </si>
  <si>
    <t>Zuora Inc</t>
  </si>
  <si>
    <t>crm</t>
  </si>
  <si>
    <t>Salesforce Inc</t>
  </si>
  <si>
    <t>hpq</t>
  </si>
  <si>
    <t>HP Inc</t>
  </si>
  <si>
    <t>ma</t>
  </si>
  <si>
    <t>Mastercard Inc</t>
  </si>
  <si>
    <t>wu</t>
  </si>
  <si>
    <t>Western Union Co</t>
  </si>
  <si>
    <t>cmcm</t>
  </si>
  <si>
    <t>Cheetah Mobile Inc</t>
  </si>
  <si>
    <t>adbe</t>
  </si>
  <si>
    <t>Adobe Inc</t>
  </si>
  <si>
    <t>lumn</t>
  </si>
  <si>
    <t>Lumen Technologies Inc</t>
  </si>
  <si>
    <t>Telecommunication</t>
  </si>
  <si>
    <t>tmus</t>
  </si>
  <si>
    <t>T-Mobile US Inc</t>
  </si>
  <si>
    <t>t</t>
  </si>
  <si>
    <t>AT&amp;T Inc</t>
  </si>
  <si>
    <t>vfc</t>
  </si>
  <si>
    <t>VF Corp</t>
  </si>
  <si>
    <t>Textiles Apparel and Luxury Goods</t>
  </si>
  <si>
    <t>tpr</t>
  </si>
  <si>
    <t>Tapestry Inc</t>
  </si>
  <si>
    <t>rl</t>
  </si>
  <si>
    <t>Ralph Lauren Corp</t>
  </si>
  <si>
    <t>pvh</t>
  </si>
  <si>
    <t>PVH Corp</t>
  </si>
  <si>
    <t>shoo</t>
  </si>
  <si>
    <t>Steven Madden Ltd</t>
  </si>
  <si>
    <t>www</t>
  </si>
  <si>
    <t>Wolverine World Wide Inc</t>
  </si>
  <si>
    <t>hbi</t>
  </si>
  <si>
    <t>HanesBrands Inc</t>
  </si>
  <si>
    <t>nke</t>
  </si>
  <si>
    <t>Nike Inc</t>
  </si>
  <si>
    <t>evk</t>
  </si>
  <si>
    <t>Ever-Glory International Group Inc</t>
  </si>
  <si>
    <t>mo</t>
  </si>
  <si>
    <t>Altria Group Inc</t>
  </si>
  <si>
    <t>Tobacco</t>
  </si>
  <si>
    <t>pm</t>
  </si>
  <si>
    <t>Philip Morris International Inc</t>
  </si>
  <si>
    <t>uri</t>
  </si>
  <si>
    <t>United Rentals Inc</t>
  </si>
  <si>
    <t>Trading Companies and Distributors</t>
  </si>
  <si>
    <t>trtn</t>
  </si>
  <si>
    <t>Triton International Ltd</t>
  </si>
  <si>
    <t>gww</t>
  </si>
  <si>
    <t>WW Grainger Inc</t>
  </si>
  <si>
    <t>fast</t>
  </si>
  <si>
    <t>Fastenal Co</t>
  </si>
  <si>
    <t>clwt</t>
  </si>
  <si>
    <t>Euro Tech Holdings Company Ltd</t>
  </si>
  <si>
    <t>eix</t>
  </si>
  <si>
    <t>Edison International</t>
  </si>
  <si>
    <t>Utilities</t>
  </si>
  <si>
    <t>exc</t>
  </si>
  <si>
    <t>Exelon Corp</t>
  </si>
  <si>
    <t>pnw</t>
  </si>
  <si>
    <t>Pinnacle West Capital Corp</t>
  </si>
  <si>
    <t>sre</t>
  </si>
  <si>
    <t>Sempra Energy</t>
  </si>
  <si>
    <t>wec</t>
  </si>
  <si>
    <t>WEC Energy Group Inc</t>
  </si>
  <si>
    <t>ed</t>
  </si>
  <si>
    <t>Consolidated Edison Inc</t>
  </si>
  <si>
    <t>awk</t>
  </si>
  <si>
    <t>American Water Works Company Inc</t>
  </si>
  <si>
    <t>etr</t>
  </si>
  <si>
    <t>Entergy Corp</t>
  </si>
  <si>
    <t>es</t>
  </si>
  <si>
    <t>Eversource Energy</t>
  </si>
  <si>
    <t>duk</t>
  </si>
  <si>
    <t>Duke Energy Corp</t>
  </si>
  <si>
    <t>nee</t>
  </si>
  <si>
    <t>Nextera Energy Inc</t>
  </si>
  <si>
    <t>ato</t>
  </si>
  <si>
    <t>Atmos Energy Corp</t>
  </si>
  <si>
    <t>he</t>
  </si>
  <si>
    <t>Hawaiian Electric Industries Inc</t>
  </si>
  <si>
    <t>aes</t>
  </si>
  <si>
    <t>AES Corp</t>
  </si>
  <si>
    <t>aee</t>
  </si>
  <si>
    <t>Ameren Corp</t>
  </si>
  <si>
    <t>cms</t>
  </si>
  <si>
    <t>CMS Energy Corp</t>
  </si>
  <si>
    <t>C</t>
  </si>
  <si>
    <t>d</t>
  </si>
  <si>
    <t>Dominion Energy Inc</t>
  </si>
  <si>
    <t>evrg</t>
  </si>
  <si>
    <t>Evergy Inc</t>
  </si>
  <si>
    <t>so</t>
  </si>
  <si>
    <t>Southern Co</t>
  </si>
  <si>
    <t>ppl</t>
  </si>
  <si>
    <t>PPL Corp</t>
  </si>
  <si>
    <t>cnp</t>
  </si>
  <si>
    <t>CenterPoint Energy Inc</t>
  </si>
  <si>
    <t>lnt</t>
  </si>
  <si>
    <t>Alliant Energy Corp</t>
  </si>
  <si>
    <t>dte</t>
  </si>
  <si>
    <t>DTE Energy Co</t>
  </si>
  <si>
    <t>fe</t>
  </si>
  <si>
    <t>FirstEnergy Corp</t>
  </si>
  <si>
    <t>aep</t>
  </si>
  <si>
    <t>American Electric Power Company Inc</t>
  </si>
  <si>
    <t>peg</t>
  </si>
  <si>
    <t>Public Service Enterprise Group Inc</t>
  </si>
  <si>
    <t>nrg</t>
  </si>
  <si>
    <t>NRG Energy Inc</t>
  </si>
  <si>
    <t>ni</t>
  </si>
  <si>
    <t>NiSource Inc</t>
  </si>
  <si>
    <t>gwrs</t>
  </si>
  <si>
    <t>Global Water Resources Inc</t>
  </si>
  <si>
    <t>xel</t>
  </si>
  <si>
    <t>Xcel Energy Inc</t>
  </si>
  <si>
    <t>number_of_companies</t>
  </si>
  <si>
    <t>E_min_score</t>
  </si>
  <si>
    <t>E_max_score</t>
  </si>
  <si>
    <t>E_median_score</t>
  </si>
  <si>
    <t>S_min_score</t>
  </si>
  <si>
    <t>S_max_score</t>
  </si>
  <si>
    <t>S_median_score</t>
  </si>
  <si>
    <t>G_min_score</t>
  </si>
  <si>
    <t>G_max_score</t>
  </si>
  <si>
    <t>G_median_score</t>
  </si>
  <si>
    <t>Total_min_score</t>
  </si>
  <si>
    <t>total_min_score_company_name</t>
  </si>
  <si>
    <t>Total_max_score</t>
  </si>
  <si>
    <t>total_max_score_company_name</t>
  </si>
  <si>
    <t>total_median_score</t>
  </si>
  <si>
    <t>total_score_difference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</si>
  <si>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</si>
  <si>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</si>
  <si>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</si>
  <si>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</si>
  <si>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</si>
  <si>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</si>
  <si>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</si>
  <si>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</si>
  <si>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</si>
  <si>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</si>
  <si>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</si>
  <si>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</si>
  <si>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</si>
  <si>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</si>
  <si>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</si>
  <si>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Column 18</t>
  </si>
  <si>
    <t>Column 19</t>
  </si>
  <si>
    <t>Column 20</t>
  </si>
  <si>
    <t>Column 21</t>
  </si>
  <si>
    <t>Column 22</t>
  </si>
  <si>
    <t>Column 23</t>
  </si>
  <si>
    <t>Column 24</t>
  </si>
  <si>
    <t>Column 25</t>
  </si>
  <si>
    <t>Column 26</t>
  </si>
  <si>
    <t>Column 27</t>
  </si>
  <si>
    <t>Column 28</t>
  </si>
  <si>
    <t>Column 29</t>
  </si>
  <si>
    <t>Column 30</t>
  </si>
  <si>
    <t>Column 31</t>
  </si>
  <si>
    <t>Column 32</t>
  </si>
  <si>
    <t>Column 33</t>
  </si>
  <si>
    <t>Column 34</t>
  </si>
  <si>
    <t>Column 35</t>
  </si>
  <si>
    <t>Column 36</t>
  </si>
  <si>
    <t>Column 37</t>
  </si>
  <si>
    <t>Column 38</t>
  </si>
  <si>
    <t>Column 39</t>
  </si>
  <si>
    <t>Column 40</t>
  </si>
  <si>
    <t>Column 41</t>
  </si>
  <si>
    <t>Column 42</t>
  </si>
  <si>
    <t>Column 43</t>
  </si>
  <si>
    <t>Column 44</t>
  </si>
  <si>
    <t>Column 45</t>
  </si>
  <si>
    <t>Column 46</t>
  </si>
  <si>
    <t>SUM of number_of_companies</t>
  </si>
  <si>
    <t>SUM of total_score_difference</t>
  </si>
  <si>
    <t>Total_median_score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</si>
</sst>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4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top"/>
    </xf>
    <xf borderId="0" fillId="2" fontId="2" numFmtId="0" xfId="0" applyAlignment="1" applyFont="1">
      <alignment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9" Type="http://schemas.openxmlformats.org/officeDocument/2006/relationships/chartsheet" Target="chart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Difference within industries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N of companies per industry</c:v>
          </c:tx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cat>
            <c:strRef>
              <c:f>'Difference within industries'!$A$3:$A$45</c:f>
            </c:strRef>
          </c:cat>
          <c:val>
            <c:numRef>
              <c:f>'Difference within industries'!$B$3:$B$45</c:f>
              <c:numCache/>
            </c:numRef>
          </c:val>
        </c:ser>
        <c:ser>
          <c:idx val="1"/>
          <c:order val="1"/>
          <c:tx>
            <c:v>Difference in total score</c:v>
          </c:tx>
          <c:spPr>
            <a:solidFill>
              <a:srgbClr val="E69138"/>
            </a:solidFill>
            <a:ln cmpd="sng">
              <a:solidFill>
                <a:srgbClr val="000000"/>
              </a:solidFill>
            </a:ln>
          </c:spPr>
          <c:cat>
            <c:strRef>
              <c:f>'Difference within industries'!$A$3:$A$45</c:f>
            </c:strRef>
          </c:cat>
          <c:val>
            <c:numRef>
              <c:f>'Difference within industries'!$C$3:$C$45</c:f>
              <c:numCache/>
            </c:numRef>
          </c:val>
        </c:ser>
        <c:overlap val="100"/>
        <c:axId val="851545667"/>
        <c:axId val="1139771784"/>
      </c:barChart>
      <c:catAx>
        <c:axId val="8515456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9771784"/>
      </c:catAx>
      <c:valAx>
        <c:axId val="11397717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15456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'Industry ESG comparison'!$B$1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'Industry ESG comparison'!$A$2:$A$1000</c:f>
            </c:strRef>
          </c:cat>
          <c:val>
            <c:numRef>
              <c:f>'Industry ESG comparison'!$B$2:$B$1000</c:f>
              <c:numCache/>
            </c:numRef>
          </c:val>
        </c:ser>
        <c:ser>
          <c:idx val="1"/>
          <c:order val="1"/>
          <c:tx>
            <c:strRef>
              <c:f>'Industry ESG comparison'!$C$1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'Industry ESG comparison'!$A$2:$A$1000</c:f>
            </c:strRef>
          </c:cat>
          <c:val>
            <c:numRef>
              <c:f>'Industry ESG comparison'!$C$2:$C$1000</c:f>
              <c:numCache/>
            </c:numRef>
          </c:val>
        </c:ser>
        <c:ser>
          <c:idx val="2"/>
          <c:order val="2"/>
          <c:tx>
            <c:strRef>
              <c:f>'Industry ESG comparison'!$D$1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'Industry ESG comparison'!$A$2:$A$1000</c:f>
            </c:strRef>
          </c:cat>
          <c:val>
            <c:numRef>
              <c:f>'Industry ESG comparison'!$D$2:$D$1000</c:f>
              <c:numCache/>
            </c:numRef>
          </c:val>
        </c:ser>
        <c:axId val="609344115"/>
        <c:axId val="93207784"/>
      </c:barChart>
      <c:catAx>
        <c:axId val="6093441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207784"/>
      </c:catAx>
      <c:valAx>
        <c:axId val="932077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93441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Leaders and Laggards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0"/>
          </c:dPt>
          <c:dPt>
            <c:idx val="13"/>
          </c:dPt>
          <c:cat>
            <c:strRef>
              <c:f>'Leaders &amp; Laggards'!$C$46:$C$68</c:f>
            </c:strRef>
          </c:cat>
          <c:val>
            <c:numRef>
              <c:f>'Leaders &amp; Laggards'!$A$46:$A$68</c:f>
              <c:numCache/>
            </c:numRef>
          </c:val>
        </c:ser>
        <c:ser>
          <c:idx val="1"/>
          <c:order val="1"/>
          <c:cat>
            <c:strRef>
              <c:f>'Leaders &amp; Laggards'!$C$46:$C$68</c:f>
            </c:strRef>
          </c:cat>
          <c:val>
            <c:numRef>
              <c:f>'Leaders &amp; Laggards'!$B$46:$B$68</c:f>
              <c:numCache/>
            </c:numRef>
          </c:val>
        </c:ser>
        <c:axId val="267061017"/>
        <c:axId val="682940508"/>
      </c:barChart>
      <c:catAx>
        <c:axId val="2670610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2940508"/>
      </c:catAx>
      <c:valAx>
        <c:axId val="6829405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70610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ubbleChart>
        <c:ser>
          <c:idx val="0"/>
          <c:order val="0"/>
          <c:tx>
            <c:strRef>
              <c:f>'Summary stats'!$A$2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</c:f>
            </c:strRef>
          </c:xVal>
          <c:yVal>
            <c:numRef>
              <c:f>'Summary stats'!$B$2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"/>
          <c:order val="1"/>
          <c:tx>
            <c:strRef>
              <c:f>'Summary stats'!$A$3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</c:f>
            </c:strRef>
          </c:xVal>
          <c:yVal>
            <c:numRef>
              <c:f>'Summary stats'!$B$3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"/>
          <c:order val="2"/>
          <c:tx>
            <c:strRef>
              <c:f>'Summary stats'!$A$4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</c:f>
            </c:strRef>
          </c:xVal>
          <c:yVal>
            <c:numRef>
              <c:f>'Summary stats'!$B$4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"/>
          <c:order val="3"/>
          <c:tx>
            <c:strRef>
              <c:f>'Summary stats'!$A$5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</c:f>
            </c:strRef>
          </c:xVal>
          <c:yVal>
            <c:numRef>
              <c:f>'Summary stats'!$B$5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"/>
          <c:order val="4"/>
          <c:tx>
            <c:strRef>
              <c:f>'Summary stats'!$A$6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</c:f>
            </c:strRef>
          </c:xVal>
          <c:yVal>
            <c:numRef>
              <c:f>'Summary stats'!$B$6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"/>
          <c:order val="5"/>
          <c:tx>
            <c:strRef>
              <c:f>'Summary stats'!$A$7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</c:f>
            </c:strRef>
          </c:xVal>
          <c:yVal>
            <c:numRef>
              <c:f>'Summary stats'!$B$7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"/>
          <c:order val="6"/>
          <c:tx>
            <c:strRef>
              <c:f>'Summary stats'!$A$8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</c:f>
            </c:strRef>
          </c:xVal>
          <c:yVal>
            <c:numRef>
              <c:f>'Summary stats'!$B$8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"/>
          <c:order val="7"/>
          <c:tx>
            <c:strRef>
              <c:f>'Summary stats'!$A$9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</c:f>
            </c:strRef>
          </c:xVal>
          <c:yVal>
            <c:numRef>
              <c:f>'Summary stats'!$B$9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"/>
          <c:order val="8"/>
          <c:tx>
            <c:strRef>
              <c:f>'Summary stats'!$A$10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</c:f>
            </c:strRef>
          </c:xVal>
          <c:yVal>
            <c:numRef>
              <c:f>'Summary stats'!$B$10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"/>
          <c:order val="9"/>
          <c:tx>
            <c:strRef>
              <c:f>'Summary stats'!$A$11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</c:f>
            </c:strRef>
          </c:xVal>
          <c:yVal>
            <c:numRef>
              <c:f>'Summary stats'!$B$11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"/>
          <c:order val="10"/>
          <c:tx>
            <c:strRef>
              <c:f>'Summary stats'!$A$12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</c:f>
            </c:strRef>
          </c:xVal>
          <c:yVal>
            <c:numRef>
              <c:f>'Summary stats'!$B$12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"/>
          <c:order val="11"/>
          <c:tx>
            <c:strRef>
              <c:f>'Summary stats'!$A$13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</c:f>
            </c:strRef>
          </c:xVal>
          <c:yVal>
            <c:numRef>
              <c:f>'Summary stats'!$B$13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"/>
          <c:order val="12"/>
          <c:tx>
            <c:strRef>
              <c:f>'Summary stats'!$A$14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</c:f>
            </c:strRef>
          </c:xVal>
          <c:yVal>
            <c:numRef>
              <c:f>'Summary stats'!$B$14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"/>
          <c:order val="13"/>
          <c:tx>
            <c:strRef>
              <c:f>'Summary stats'!$A$15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stats'!$A$15</c:f>
            </c:strRef>
          </c:xVal>
          <c:yVal>
            <c:numRef>
              <c:f>'Summary stats'!$B$15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"/>
          <c:order val="14"/>
          <c:tx>
            <c:strRef>
              <c:f>'Summary stats'!$A$16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stats'!$A$16</c:f>
            </c:strRef>
          </c:xVal>
          <c:yVal>
            <c:numRef>
              <c:f>'Summary stats'!$B$16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"/>
          <c:order val="15"/>
          <c:tx>
            <c:strRef>
              <c:f>'Summary stats'!$A$17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stats'!$A$17</c:f>
            </c:strRef>
          </c:xVal>
          <c:yVal>
            <c:numRef>
              <c:f>'Summary stats'!$B$17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"/>
          <c:order val="16"/>
          <c:tx>
            <c:strRef>
              <c:f>'Summary stats'!$A$18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stats'!$A$18</c:f>
            </c:strRef>
          </c:xVal>
          <c:yVal>
            <c:numRef>
              <c:f>'Summary stats'!$B$18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"/>
          <c:order val="17"/>
          <c:tx>
            <c:strRef>
              <c:f>'Summary stats'!$A$19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stats'!$A$19</c:f>
            </c:strRef>
          </c:xVal>
          <c:yVal>
            <c:numRef>
              <c:f>'Summary stats'!$B$19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"/>
          <c:order val="18"/>
          <c:tx>
            <c:strRef>
              <c:f>'Summary stats'!$A$20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stats'!$A$20</c:f>
            </c:strRef>
          </c:xVal>
          <c:yVal>
            <c:numRef>
              <c:f>'Summary stats'!$B$20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"/>
          <c:order val="19"/>
          <c:tx>
            <c:strRef>
              <c:f>'Summary stats'!$A$21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stats'!$A$21</c:f>
            </c:strRef>
          </c:xVal>
          <c:yVal>
            <c:numRef>
              <c:f>'Summary stats'!$B$21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"/>
          <c:order val="20"/>
          <c:tx>
            <c:strRef>
              <c:f>'Summary stats'!$A$22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stats'!$A$22</c:f>
            </c:strRef>
          </c:xVal>
          <c:yVal>
            <c:numRef>
              <c:f>'Summary stats'!$B$22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"/>
          <c:order val="21"/>
          <c:tx>
            <c:strRef>
              <c:f>'Summary stats'!$A$23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stats'!$A$23</c:f>
            </c:strRef>
          </c:xVal>
          <c:yVal>
            <c:numRef>
              <c:f>'Summary stats'!$B$23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"/>
          <c:order val="22"/>
          <c:tx>
            <c:strRef>
              <c:f>'Summary stats'!$A$24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stats'!$A$24</c:f>
            </c:strRef>
          </c:xVal>
          <c:yVal>
            <c:numRef>
              <c:f>'Summary stats'!$B$24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"/>
          <c:order val="23"/>
          <c:tx>
            <c:strRef>
              <c:f>'Summary stats'!$A$25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stats'!$A$25</c:f>
            </c:strRef>
          </c:xVal>
          <c:yVal>
            <c:numRef>
              <c:f>'Summary stats'!$B$25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"/>
          <c:order val="24"/>
          <c:tx>
            <c:strRef>
              <c:f>'Summary stats'!$A$26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stats'!$A$26</c:f>
            </c:strRef>
          </c:xVal>
          <c:yVal>
            <c:numRef>
              <c:f>'Summary stats'!$B$26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"/>
          <c:order val="25"/>
          <c:tx>
            <c:strRef>
              <c:f>'Summary stats'!$A$27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stats'!$A$27</c:f>
            </c:strRef>
          </c:xVal>
          <c:yVal>
            <c:numRef>
              <c:f>'Summary stats'!$B$27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"/>
          <c:order val="26"/>
          <c:tx>
            <c:strRef>
              <c:f>'Summary stats'!$A$28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stats'!$A$28</c:f>
            </c:strRef>
          </c:xVal>
          <c:yVal>
            <c:numRef>
              <c:f>'Summary stats'!$B$28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"/>
          <c:order val="27"/>
          <c:tx>
            <c:strRef>
              <c:f>'Summary stats'!$A$29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stats'!$A$29</c:f>
            </c:strRef>
          </c:xVal>
          <c:yVal>
            <c:numRef>
              <c:f>'Summary stats'!$B$29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"/>
          <c:order val="28"/>
          <c:tx>
            <c:strRef>
              <c:f>'Summary stats'!$A$30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stats'!$A$30</c:f>
            </c:strRef>
          </c:xVal>
          <c:yVal>
            <c:numRef>
              <c:f>'Summary stats'!$B$30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"/>
          <c:order val="29"/>
          <c:tx>
            <c:strRef>
              <c:f>'Summary stats'!$A$31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stats'!$A$31</c:f>
            </c:strRef>
          </c:xVal>
          <c:yVal>
            <c:numRef>
              <c:f>'Summary stats'!$B$31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"/>
          <c:order val="30"/>
          <c:tx>
            <c:strRef>
              <c:f>'Summary stats'!$A$32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stats'!$A$32</c:f>
            </c:strRef>
          </c:xVal>
          <c:yVal>
            <c:numRef>
              <c:f>'Summary stats'!$B$32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"/>
          <c:order val="31"/>
          <c:tx>
            <c:strRef>
              <c:f>'Summary stats'!$A$33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stats'!$A$33</c:f>
            </c:strRef>
          </c:xVal>
          <c:yVal>
            <c:numRef>
              <c:f>'Summary stats'!$B$33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"/>
          <c:order val="32"/>
          <c:tx>
            <c:strRef>
              <c:f>'Summary stats'!$A$34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stats'!$A$34</c:f>
            </c:strRef>
          </c:xVal>
          <c:yVal>
            <c:numRef>
              <c:f>'Summary stats'!$B$34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"/>
          <c:order val="33"/>
          <c:tx>
            <c:strRef>
              <c:f>'Summary stats'!$A$35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stats'!$A$35</c:f>
            </c:strRef>
          </c:xVal>
          <c:yVal>
            <c:numRef>
              <c:f>'Summary stats'!$B$35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"/>
          <c:order val="34"/>
          <c:tx>
            <c:strRef>
              <c:f>'Summary stats'!$A$36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stats'!$A$36</c:f>
            </c:strRef>
          </c:xVal>
          <c:yVal>
            <c:numRef>
              <c:f>'Summary stats'!$B$36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"/>
          <c:order val="35"/>
          <c:tx>
            <c:strRef>
              <c:f>'Summary stats'!$A$37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stats'!$A$37</c:f>
            </c:strRef>
          </c:xVal>
          <c:yVal>
            <c:numRef>
              <c:f>'Summary stats'!$B$37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"/>
          <c:order val="36"/>
          <c:tx>
            <c:strRef>
              <c:f>'Summary stats'!$A$38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stats'!$A$38</c:f>
            </c:strRef>
          </c:xVal>
          <c:yVal>
            <c:numRef>
              <c:f>'Summary stats'!$B$38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"/>
          <c:order val="37"/>
          <c:tx>
            <c:strRef>
              <c:f>'Summary stats'!$A$39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stats'!$A$39</c:f>
            </c:strRef>
          </c:xVal>
          <c:yVal>
            <c:numRef>
              <c:f>'Summary stats'!$B$39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"/>
          <c:order val="38"/>
          <c:tx>
            <c:strRef>
              <c:f>'Summary stats'!$A$40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stats'!$A$40</c:f>
            </c:strRef>
          </c:xVal>
          <c:yVal>
            <c:numRef>
              <c:f>'Summary stats'!$B$40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"/>
          <c:order val="39"/>
          <c:tx>
            <c:strRef>
              <c:f>'Summary stats'!$A$41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stats'!$A$41</c:f>
            </c:strRef>
          </c:xVal>
          <c:yVal>
            <c:numRef>
              <c:f>'Summary stats'!$B$41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"/>
          <c:order val="40"/>
          <c:tx>
            <c:strRef>
              <c:f>'Summary stats'!$A$42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stats'!$A$42</c:f>
            </c:strRef>
          </c:xVal>
          <c:yVal>
            <c:numRef>
              <c:f>'Summary stats'!$B$42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"/>
          <c:order val="41"/>
          <c:tx>
            <c:strRef>
              <c:f>'Summary stats'!$A$43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stats'!$A$43</c:f>
            </c:strRef>
          </c:xVal>
          <c:yVal>
            <c:numRef>
              <c:f>'Summary stats'!$B$43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"/>
          <c:order val="42"/>
          <c:tx>
            <c:strRef>
              <c:f>'Summary stats'!$A$44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stats'!$A$44</c:f>
            </c:strRef>
          </c:xVal>
          <c:yVal>
            <c:numRef>
              <c:f>'Summary stats'!$B$44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"/>
          <c:order val="43"/>
          <c:tx>
            <c:strRef>
              <c:f>'Summary stats'!$A$45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stats'!$A$45</c:f>
            </c:strRef>
          </c:xVal>
          <c:yVal>
            <c:numRef>
              <c:f>'Summary stats'!$B$45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"/>
          <c:order val="44"/>
          <c:tx>
            <c:strRef>
              <c:f>'Summary stats'!$A$46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stats'!$A$46</c:f>
            </c:strRef>
          </c:xVal>
          <c:yVal>
            <c:numRef>
              <c:f>'Summary stats'!$B$46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"/>
          <c:order val="45"/>
          <c:tx>
            <c:strRef>
              <c:f>'Summary stats'!$A$47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stats'!$A$47</c:f>
            </c:strRef>
          </c:xVal>
          <c:yVal>
            <c:numRef>
              <c:f>'Summary stats'!$B$47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"/>
          <c:order val="46"/>
          <c:tx>
            <c:strRef>
              <c:f>'Summary stats'!$A$48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stats'!$A$48</c:f>
            </c:strRef>
          </c:xVal>
          <c:yVal>
            <c:numRef>
              <c:f>'Summary stats'!$B$48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"/>
          <c:order val="47"/>
          <c:tx>
            <c:strRef>
              <c:f>'Summary stats'!$A$49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stats'!$A$49</c:f>
            </c:strRef>
          </c:xVal>
          <c:yVal>
            <c:numRef>
              <c:f>'Summary stats'!$B$49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"/>
          <c:order val="48"/>
          <c:tx>
            <c:strRef>
              <c:f>'Summary stats'!$A$50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stats'!$A$50</c:f>
            </c:strRef>
          </c:xVal>
          <c:yVal>
            <c:numRef>
              <c:f>'Summary stats'!$B$50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"/>
          <c:order val="49"/>
          <c:tx>
            <c:strRef>
              <c:f>'Summary stats'!$A$51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stats'!$A$51</c:f>
            </c:strRef>
          </c:xVal>
          <c:yVal>
            <c:numRef>
              <c:f>'Summary stats'!$B$51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"/>
          <c:order val="50"/>
          <c:tx>
            <c:strRef>
              <c:f>'Summary stats'!$A$52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stats'!$A$52</c:f>
            </c:strRef>
          </c:xVal>
          <c:yVal>
            <c:numRef>
              <c:f>'Summary stats'!$B$52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"/>
          <c:order val="51"/>
          <c:tx>
            <c:strRef>
              <c:f>'Summary stats'!$A$53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stats'!$A$53</c:f>
            </c:strRef>
          </c:xVal>
          <c:yVal>
            <c:numRef>
              <c:f>'Summary stats'!$B$53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"/>
          <c:order val="52"/>
          <c:tx>
            <c:strRef>
              <c:f>'Summary stats'!$A$54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stats'!$A$54</c:f>
            </c:strRef>
          </c:xVal>
          <c:yVal>
            <c:numRef>
              <c:f>'Summary stats'!$B$54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"/>
          <c:order val="53"/>
          <c:tx>
            <c:strRef>
              <c:f>'Summary stats'!$A$55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stats'!$A$55</c:f>
            </c:strRef>
          </c:xVal>
          <c:yVal>
            <c:numRef>
              <c:f>'Summary stats'!$B$55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"/>
          <c:order val="54"/>
          <c:tx>
            <c:strRef>
              <c:f>'Summary stats'!$A$56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stats'!$A$56</c:f>
            </c:strRef>
          </c:xVal>
          <c:yVal>
            <c:numRef>
              <c:f>'Summary stats'!$B$56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"/>
          <c:order val="55"/>
          <c:tx>
            <c:strRef>
              <c:f>'Summary stats'!$A$57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stats'!$A$57</c:f>
            </c:strRef>
          </c:xVal>
          <c:yVal>
            <c:numRef>
              <c:f>'Summary stats'!$B$57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"/>
          <c:order val="56"/>
          <c:tx>
            <c:strRef>
              <c:f>'Summary stats'!$A$58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stats'!$A$58</c:f>
            </c:strRef>
          </c:xVal>
          <c:yVal>
            <c:numRef>
              <c:f>'Summary stats'!$B$58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"/>
          <c:order val="57"/>
          <c:tx>
            <c:strRef>
              <c:f>'Summary stats'!$A$59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stats'!$A$59</c:f>
            </c:strRef>
          </c:xVal>
          <c:yVal>
            <c:numRef>
              <c:f>'Summary stats'!$B$59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"/>
          <c:order val="58"/>
          <c:tx>
            <c:strRef>
              <c:f>'Summary stats'!$A$60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stats'!$A$60</c:f>
            </c:strRef>
          </c:xVal>
          <c:yVal>
            <c:numRef>
              <c:f>'Summary stats'!$B$60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"/>
          <c:order val="59"/>
          <c:tx>
            <c:strRef>
              <c:f>'Summary stats'!$A$61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stats'!$A$61</c:f>
            </c:strRef>
          </c:xVal>
          <c:yVal>
            <c:numRef>
              <c:f>'Summary stats'!$B$61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"/>
          <c:order val="60"/>
          <c:tx>
            <c:strRef>
              <c:f>'Summary stats'!$A$62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stats'!$A$62</c:f>
            </c:strRef>
          </c:xVal>
          <c:yVal>
            <c:numRef>
              <c:f>'Summary stats'!$B$62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"/>
          <c:order val="61"/>
          <c:tx>
            <c:strRef>
              <c:f>'Summary stats'!$A$63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stats'!$A$63</c:f>
            </c:strRef>
          </c:xVal>
          <c:yVal>
            <c:numRef>
              <c:f>'Summary stats'!$B$63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"/>
          <c:order val="62"/>
          <c:tx>
            <c:strRef>
              <c:f>'Summary stats'!$A$64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stats'!$A$64</c:f>
            </c:strRef>
          </c:xVal>
          <c:yVal>
            <c:numRef>
              <c:f>'Summary stats'!$B$64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"/>
          <c:order val="63"/>
          <c:tx>
            <c:strRef>
              <c:f>'Summary stats'!$A$65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stats'!$A$65</c:f>
            </c:strRef>
          </c:xVal>
          <c:yVal>
            <c:numRef>
              <c:f>'Summary stats'!$B$65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"/>
          <c:order val="64"/>
          <c:tx>
            <c:strRef>
              <c:f>'Summary stats'!$A$66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stats'!$A$66</c:f>
            </c:strRef>
          </c:xVal>
          <c:yVal>
            <c:numRef>
              <c:f>'Summary stats'!$B$66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"/>
          <c:order val="65"/>
          <c:tx>
            <c:strRef>
              <c:f>'Summary stats'!$A$67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stats'!$A$67</c:f>
            </c:strRef>
          </c:xVal>
          <c:yVal>
            <c:numRef>
              <c:f>'Summary stats'!$B$67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"/>
          <c:order val="66"/>
          <c:tx>
            <c:strRef>
              <c:f>'Summary stats'!$A$68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stats'!$A$68</c:f>
            </c:strRef>
          </c:xVal>
          <c:yVal>
            <c:numRef>
              <c:f>'Summary stats'!$B$68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"/>
          <c:order val="67"/>
          <c:tx>
            <c:strRef>
              <c:f>'Summary stats'!$A$69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stats'!$A$69</c:f>
            </c:strRef>
          </c:xVal>
          <c:yVal>
            <c:numRef>
              <c:f>'Summary stats'!$B$69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"/>
          <c:order val="68"/>
          <c:tx>
            <c:strRef>
              <c:f>'Summary stats'!$A$70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stats'!$A$70</c:f>
            </c:strRef>
          </c:xVal>
          <c:yVal>
            <c:numRef>
              <c:f>'Summary stats'!$B$70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"/>
          <c:order val="69"/>
          <c:tx>
            <c:strRef>
              <c:f>'Summary stats'!$A$71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stats'!$A$71</c:f>
            </c:strRef>
          </c:xVal>
          <c:yVal>
            <c:numRef>
              <c:f>'Summary stats'!$B$71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"/>
          <c:order val="70"/>
          <c:tx>
            <c:strRef>
              <c:f>'Summary stats'!$A$72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stats'!$A$72</c:f>
            </c:strRef>
          </c:xVal>
          <c:yVal>
            <c:numRef>
              <c:f>'Summary stats'!$B$72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"/>
          <c:order val="71"/>
          <c:tx>
            <c:strRef>
              <c:f>'Summary stats'!$A$73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stats'!$A$73</c:f>
            </c:strRef>
          </c:xVal>
          <c:yVal>
            <c:numRef>
              <c:f>'Summary stats'!$B$73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"/>
          <c:order val="72"/>
          <c:tx>
            <c:strRef>
              <c:f>'Summary stats'!$A$74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stats'!$A$74</c:f>
            </c:strRef>
          </c:xVal>
          <c:yVal>
            <c:numRef>
              <c:f>'Summary stats'!$B$74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"/>
          <c:order val="73"/>
          <c:tx>
            <c:strRef>
              <c:f>'Summary stats'!$A$75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stats'!$A$75</c:f>
            </c:strRef>
          </c:xVal>
          <c:yVal>
            <c:numRef>
              <c:f>'Summary stats'!$B$75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"/>
          <c:order val="74"/>
          <c:tx>
            <c:strRef>
              <c:f>'Summary stats'!$A$76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stats'!$A$76</c:f>
            </c:strRef>
          </c:xVal>
          <c:yVal>
            <c:numRef>
              <c:f>'Summary stats'!$B$76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"/>
          <c:order val="75"/>
          <c:tx>
            <c:strRef>
              <c:f>'Summary stats'!$A$77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stats'!$A$77</c:f>
            </c:strRef>
          </c:xVal>
          <c:yVal>
            <c:numRef>
              <c:f>'Summary stats'!$B$77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"/>
          <c:order val="76"/>
          <c:tx>
            <c:strRef>
              <c:f>'Summary stats'!$A$78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stats'!$A$78</c:f>
            </c:strRef>
          </c:xVal>
          <c:yVal>
            <c:numRef>
              <c:f>'Summary stats'!$B$78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"/>
          <c:order val="77"/>
          <c:tx>
            <c:strRef>
              <c:f>'Summary stats'!$A$79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stats'!$A$79</c:f>
            </c:strRef>
          </c:xVal>
          <c:yVal>
            <c:numRef>
              <c:f>'Summary stats'!$B$79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"/>
          <c:order val="78"/>
          <c:tx>
            <c:strRef>
              <c:f>'Summary stats'!$A$80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stats'!$A$80</c:f>
            </c:strRef>
          </c:xVal>
          <c:yVal>
            <c:numRef>
              <c:f>'Summary stats'!$B$80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"/>
          <c:order val="79"/>
          <c:tx>
            <c:strRef>
              <c:f>'Summary stats'!$A$81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stats'!$A$81</c:f>
            </c:strRef>
          </c:xVal>
          <c:yVal>
            <c:numRef>
              <c:f>'Summary stats'!$B$81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"/>
          <c:order val="80"/>
          <c:tx>
            <c:strRef>
              <c:f>'Summary stats'!$A$82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stats'!$A$82</c:f>
            </c:strRef>
          </c:xVal>
          <c:yVal>
            <c:numRef>
              <c:f>'Summary stats'!$B$82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"/>
          <c:order val="81"/>
          <c:tx>
            <c:strRef>
              <c:f>'Summary stats'!$A$83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stats'!$A$83</c:f>
            </c:strRef>
          </c:xVal>
          <c:yVal>
            <c:numRef>
              <c:f>'Summary stats'!$B$83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"/>
          <c:order val="82"/>
          <c:tx>
            <c:strRef>
              <c:f>'Summary stats'!$A$84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stats'!$A$84</c:f>
            </c:strRef>
          </c:xVal>
          <c:yVal>
            <c:numRef>
              <c:f>'Summary stats'!$B$84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"/>
          <c:order val="83"/>
          <c:tx>
            <c:strRef>
              <c:f>'Summary stats'!$A$85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stats'!$A$85</c:f>
            </c:strRef>
          </c:xVal>
          <c:yVal>
            <c:numRef>
              <c:f>'Summary stats'!$B$85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"/>
          <c:order val="84"/>
          <c:tx>
            <c:strRef>
              <c:f>'Summary stats'!$A$86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stats'!$A$86</c:f>
            </c:strRef>
          </c:xVal>
          <c:yVal>
            <c:numRef>
              <c:f>'Summary stats'!$B$86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"/>
          <c:order val="85"/>
          <c:tx>
            <c:strRef>
              <c:f>'Summary stats'!$A$87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stats'!$A$87</c:f>
            </c:strRef>
          </c:xVal>
          <c:yVal>
            <c:numRef>
              <c:f>'Summary stats'!$B$87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"/>
          <c:order val="86"/>
          <c:tx>
            <c:strRef>
              <c:f>'Summary stats'!$A$88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stats'!$A$88</c:f>
            </c:strRef>
          </c:xVal>
          <c:yVal>
            <c:numRef>
              <c:f>'Summary stats'!$B$88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"/>
          <c:order val="87"/>
          <c:tx>
            <c:strRef>
              <c:f>'Summary stats'!$A$89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stats'!$A$89</c:f>
            </c:strRef>
          </c:xVal>
          <c:yVal>
            <c:numRef>
              <c:f>'Summary stats'!$B$89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"/>
          <c:order val="88"/>
          <c:tx>
            <c:strRef>
              <c:f>'Summary stats'!$A$90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stats'!$A$90</c:f>
            </c:strRef>
          </c:xVal>
          <c:yVal>
            <c:numRef>
              <c:f>'Summary stats'!$B$90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"/>
          <c:order val="89"/>
          <c:tx>
            <c:strRef>
              <c:f>'Summary stats'!$A$91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stats'!$A$91</c:f>
            </c:strRef>
          </c:xVal>
          <c:yVal>
            <c:numRef>
              <c:f>'Summary stats'!$B$91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"/>
          <c:order val="90"/>
          <c:tx>
            <c:strRef>
              <c:f>'Summary stats'!$A$92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stats'!$A$92</c:f>
            </c:strRef>
          </c:xVal>
          <c:yVal>
            <c:numRef>
              <c:f>'Summary stats'!$B$92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"/>
          <c:order val="91"/>
          <c:tx>
            <c:strRef>
              <c:f>'Summary stats'!$A$93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stats'!$A$93</c:f>
            </c:strRef>
          </c:xVal>
          <c:yVal>
            <c:numRef>
              <c:f>'Summary stats'!$B$93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"/>
          <c:order val="92"/>
          <c:tx>
            <c:strRef>
              <c:f>'Summary stats'!$A$94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stats'!$A$94</c:f>
            </c:strRef>
          </c:xVal>
          <c:yVal>
            <c:numRef>
              <c:f>'Summary stats'!$B$94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"/>
          <c:order val="93"/>
          <c:tx>
            <c:strRef>
              <c:f>'Summary stats'!$A$95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stats'!$A$95</c:f>
            </c:strRef>
          </c:xVal>
          <c:yVal>
            <c:numRef>
              <c:f>'Summary stats'!$B$95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"/>
          <c:order val="94"/>
          <c:tx>
            <c:strRef>
              <c:f>'Summary stats'!$A$96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stats'!$A$96</c:f>
            </c:strRef>
          </c:xVal>
          <c:yVal>
            <c:numRef>
              <c:f>'Summary stats'!$B$96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"/>
          <c:order val="95"/>
          <c:tx>
            <c:strRef>
              <c:f>'Summary stats'!$A$97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stats'!$A$97</c:f>
            </c:strRef>
          </c:xVal>
          <c:yVal>
            <c:numRef>
              <c:f>'Summary stats'!$B$97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"/>
          <c:order val="96"/>
          <c:tx>
            <c:strRef>
              <c:f>'Summary stats'!$A$98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stats'!$A$98</c:f>
            </c:strRef>
          </c:xVal>
          <c:yVal>
            <c:numRef>
              <c:f>'Summary stats'!$B$98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"/>
          <c:order val="97"/>
          <c:tx>
            <c:strRef>
              <c:f>'Summary stats'!$A$99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stats'!$A$99</c:f>
            </c:strRef>
          </c:xVal>
          <c:yVal>
            <c:numRef>
              <c:f>'Summary stats'!$B$99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"/>
          <c:order val="98"/>
          <c:tx>
            <c:strRef>
              <c:f>'Summary stats'!$A$100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stats'!$A$100</c:f>
            </c:strRef>
          </c:xVal>
          <c:yVal>
            <c:numRef>
              <c:f>'Summary stats'!$B$100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"/>
          <c:order val="99"/>
          <c:tx>
            <c:strRef>
              <c:f>'Summary stats'!$A$101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stats'!$A$101</c:f>
            </c:strRef>
          </c:xVal>
          <c:yVal>
            <c:numRef>
              <c:f>'Summary stats'!$B$101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0"/>
          <c:order val="100"/>
          <c:tx>
            <c:strRef>
              <c:f>'Summary stats'!$A$102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stats'!$A$102</c:f>
            </c:strRef>
          </c:xVal>
          <c:yVal>
            <c:numRef>
              <c:f>'Summary stats'!$B$102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1"/>
          <c:order val="101"/>
          <c:tx>
            <c:strRef>
              <c:f>'Summary stats'!$A$103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stats'!$A$103</c:f>
            </c:strRef>
          </c:xVal>
          <c:yVal>
            <c:numRef>
              <c:f>'Summary stats'!$B$103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2"/>
          <c:order val="102"/>
          <c:tx>
            <c:strRef>
              <c:f>'Summary stats'!$A$104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stats'!$A$104</c:f>
            </c:strRef>
          </c:xVal>
          <c:yVal>
            <c:numRef>
              <c:f>'Summary stats'!$B$104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3"/>
          <c:order val="103"/>
          <c:tx>
            <c:strRef>
              <c:f>'Summary stats'!$A$105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stats'!$A$105</c:f>
            </c:strRef>
          </c:xVal>
          <c:yVal>
            <c:numRef>
              <c:f>'Summary stats'!$B$105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4"/>
          <c:order val="104"/>
          <c:tx>
            <c:strRef>
              <c:f>'Summary stats'!$A$106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stats'!$A$106</c:f>
            </c:strRef>
          </c:xVal>
          <c:yVal>
            <c:numRef>
              <c:f>'Summary stats'!$B$106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5"/>
          <c:order val="105"/>
          <c:tx>
            <c:strRef>
              <c:f>'Summary stats'!$A$107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stats'!$A$107</c:f>
            </c:strRef>
          </c:xVal>
          <c:yVal>
            <c:numRef>
              <c:f>'Summary stats'!$B$107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6"/>
          <c:order val="106"/>
          <c:tx>
            <c:strRef>
              <c:f>'Summary stats'!$A$108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stats'!$A$108</c:f>
            </c:strRef>
          </c:xVal>
          <c:yVal>
            <c:numRef>
              <c:f>'Summary stats'!$B$108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7"/>
          <c:order val="107"/>
          <c:tx>
            <c:strRef>
              <c:f>'Summary stats'!$A$109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stats'!$A$109</c:f>
            </c:strRef>
          </c:xVal>
          <c:yVal>
            <c:numRef>
              <c:f>'Summary stats'!$B$109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8"/>
          <c:order val="108"/>
          <c:tx>
            <c:strRef>
              <c:f>'Summary stats'!$A$110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stats'!$A$110</c:f>
            </c:strRef>
          </c:xVal>
          <c:yVal>
            <c:numRef>
              <c:f>'Summary stats'!$B$110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9"/>
          <c:order val="109"/>
          <c:tx>
            <c:strRef>
              <c:f>'Summary stats'!$A$111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stats'!$A$111</c:f>
            </c:strRef>
          </c:xVal>
          <c:yVal>
            <c:numRef>
              <c:f>'Summary stats'!$B$111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0"/>
          <c:order val="110"/>
          <c:tx>
            <c:strRef>
              <c:f>'Summary stats'!$A$112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stats'!$A$112</c:f>
            </c:strRef>
          </c:xVal>
          <c:yVal>
            <c:numRef>
              <c:f>'Summary stats'!$B$112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1"/>
          <c:order val="111"/>
          <c:tx>
            <c:strRef>
              <c:f>'Summary stats'!$A$113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stats'!$A$113</c:f>
            </c:strRef>
          </c:xVal>
          <c:yVal>
            <c:numRef>
              <c:f>'Summary stats'!$B$113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2"/>
          <c:order val="112"/>
          <c:tx>
            <c:strRef>
              <c:f>'Summary stats'!$A$114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stats'!$A$114</c:f>
            </c:strRef>
          </c:xVal>
          <c:yVal>
            <c:numRef>
              <c:f>'Summary stats'!$B$114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3"/>
          <c:order val="113"/>
          <c:tx>
            <c:strRef>
              <c:f>'Summary stats'!$A$115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stats'!$A$115</c:f>
            </c:strRef>
          </c:xVal>
          <c:yVal>
            <c:numRef>
              <c:f>'Summary stats'!$B$115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4"/>
          <c:order val="114"/>
          <c:tx>
            <c:strRef>
              <c:f>'Summary stats'!$A$116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stats'!$A$116</c:f>
            </c:strRef>
          </c:xVal>
          <c:yVal>
            <c:numRef>
              <c:f>'Summary stats'!$B$116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5"/>
          <c:order val="115"/>
          <c:tx>
            <c:strRef>
              <c:f>'Summary stats'!$A$117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stats'!$A$117</c:f>
            </c:strRef>
          </c:xVal>
          <c:yVal>
            <c:numRef>
              <c:f>'Summary stats'!$B$117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6"/>
          <c:order val="116"/>
          <c:tx>
            <c:strRef>
              <c:f>'Summary stats'!$A$118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stats'!$A$118</c:f>
            </c:strRef>
          </c:xVal>
          <c:yVal>
            <c:numRef>
              <c:f>'Summary stats'!$B$118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7"/>
          <c:order val="117"/>
          <c:tx>
            <c:strRef>
              <c:f>'Summary stats'!$A$119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stats'!$A$119</c:f>
            </c:strRef>
          </c:xVal>
          <c:yVal>
            <c:numRef>
              <c:f>'Summary stats'!$B$119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8"/>
          <c:order val="118"/>
          <c:tx>
            <c:strRef>
              <c:f>'Summary stats'!$A$120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stats'!$A$120</c:f>
            </c:strRef>
          </c:xVal>
          <c:yVal>
            <c:numRef>
              <c:f>'Summary stats'!$B$120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9"/>
          <c:order val="119"/>
          <c:tx>
            <c:strRef>
              <c:f>'Summary stats'!$A$121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stats'!$A$121</c:f>
            </c:strRef>
          </c:xVal>
          <c:yVal>
            <c:numRef>
              <c:f>'Summary stats'!$B$121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0"/>
          <c:order val="120"/>
          <c:tx>
            <c:strRef>
              <c:f>'Summary stats'!$A$122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stats'!$A$122</c:f>
            </c:strRef>
          </c:xVal>
          <c:yVal>
            <c:numRef>
              <c:f>'Summary stats'!$B$122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1"/>
          <c:order val="121"/>
          <c:tx>
            <c:strRef>
              <c:f>'Summary stats'!$A$123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stats'!$A$123</c:f>
            </c:strRef>
          </c:xVal>
          <c:yVal>
            <c:numRef>
              <c:f>'Summary stats'!$B$123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2"/>
          <c:order val="122"/>
          <c:tx>
            <c:strRef>
              <c:f>'Summary stats'!$A$124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stats'!$A$124</c:f>
            </c:strRef>
          </c:xVal>
          <c:yVal>
            <c:numRef>
              <c:f>'Summary stats'!$B$124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3"/>
          <c:order val="123"/>
          <c:tx>
            <c:strRef>
              <c:f>'Summary stats'!$A$125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stats'!$A$125</c:f>
            </c:strRef>
          </c:xVal>
          <c:yVal>
            <c:numRef>
              <c:f>'Summary stats'!$B$125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4"/>
          <c:order val="124"/>
          <c:tx>
            <c:strRef>
              <c:f>'Summary stats'!$A$126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stats'!$A$126</c:f>
            </c:strRef>
          </c:xVal>
          <c:yVal>
            <c:numRef>
              <c:f>'Summary stats'!$B$126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5"/>
          <c:order val="125"/>
          <c:tx>
            <c:strRef>
              <c:f>'Summary stats'!$A$127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stats'!$A$127</c:f>
            </c:strRef>
          </c:xVal>
          <c:yVal>
            <c:numRef>
              <c:f>'Summary stats'!$B$127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6"/>
          <c:order val="126"/>
          <c:tx>
            <c:strRef>
              <c:f>'Summary stats'!$A$128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stats'!$A$128</c:f>
            </c:strRef>
          </c:xVal>
          <c:yVal>
            <c:numRef>
              <c:f>'Summary stats'!$B$128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7"/>
          <c:order val="127"/>
          <c:tx>
            <c:strRef>
              <c:f>'Summary stats'!$A$129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stats'!$A$129</c:f>
            </c:strRef>
          </c:xVal>
          <c:yVal>
            <c:numRef>
              <c:f>'Summary stats'!$B$129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8"/>
          <c:order val="128"/>
          <c:tx>
            <c:strRef>
              <c:f>'Summary stats'!$A$130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stats'!$A$130</c:f>
            </c:strRef>
          </c:xVal>
          <c:yVal>
            <c:numRef>
              <c:f>'Summary stats'!$B$130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9"/>
          <c:order val="129"/>
          <c:tx>
            <c:strRef>
              <c:f>'Summary stats'!$A$131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stats'!$A$131</c:f>
            </c:strRef>
          </c:xVal>
          <c:yVal>
            <c:numRef>
              <c:f>'Summary stats'!$B$131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0"/>
          <c:order val="130"/>
          <c:tx>
            <c:strRef>
              <c:f>'Summary stats'!$A$132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stats'!$A$132</c:f>
            </c:strRef>
          </c:xVal>
          <c:yVal>
            <c:numRef>
              <c:f>'Summary stats'!$B$132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1"/>
          <c:order val="131"/>
          <c:tx>
            <c:strRef>
              <c:f>'Summary stats'!$A$133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stats'!$A$133</c:f>
            </c:strRef>
          </c:xVal>
          <c:yVal>
            <c:numRef>
              <c:f>'Summary stats'!$B$133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2"/>
          <c:order val="132"/>
          <c:tx>
            <c:strRef>
              <c:f>'Summary stats'!$A$134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stats'!$A$134</c:f>
            </c:strRef>
          </c:xVal>
          <c:yVal>
            <c:numRef>
              <c:f>'Summary stats'!$B$134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3"/>
          <c:order val="133"/>
          <c:tx>
            <c:strRef>
              <c:f>'Summary stats'!$A$135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stats'!$A$135</c:f>
            </c:strRef>
          </c:xVal>
          <c:yVal>
            <c:numRef>
              <c:f>'Summary stats'!$B$135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4"/>
          <c:order val="134"/>
          <c:tx>
            <c:strRef>
              <c:f>'Summary stats'!$A$136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stats'!$A$136</c:f>
            </c:strRef>
          </c:xVal>
          <c:yVal>
            <c:numRef>
              <c:f>'Summary stats'!$B$136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5"/>
          <c:order val="135"/>
          <c:tx>
            <c:strRef>
              <c:f>'Summary stats'!$A$137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stats'!$A$137</c:f>
            </c:strRef>
          </c:xVal>
          <c:yVal>
            <c:numRef>
              <c:f>'Summary stats'!$B$137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6"/>
          <c:order val="136"/>
          <c:tx>
            <c:strRef>
              <c:f>'Summary stats'!$A$138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stats'!$A$138</c:f>
            </c:strRef>
          </c:xVal>
          <c:yVal>
            <c:numRef>
              <c:f>'Summary stats'!$B$138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7"/>
          <c:order val="137"/>
          <c:tx>
            <c:strRef>
              <c:f>'Summary stats'!$A$139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stats'!$A$139</c:f>
            </c:strRef>
          </c:xVal>
          <c:yVal>
            <c:numRef>
              <c:f>'Summary stats'!$B$139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8"/>
          <c:order val="138"/>
          <c:tx>
            <c:strRef>
              <c:f>'Summary stats'!$A$140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stats'!$A$140</c:f>
            </c:strRef>
          </c:xVal>
          <c:yVal>
            <c:numRef>
              <c:f>'Summary stats'!$B$140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9"/>
          <c:order val="139"/>
          <c:tx>
            <c:strRef>
              <c:f>'Summary stats'!$A$141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stats'!$A$141</c:f>
            </c:strRef>
          </c:xVal>
          <c:yVal>
            <c:numRef>
              <c:f>'Summary stats'!$B$141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0"/>
          <c:order val="140"/>
          <c:tx>
            <c:strRef>
              <c:f>'Summary stats'!$A$142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stats'!$A$142</c:f>
            </c:strRef>
          </c:xVal>
          <c:yVal>
            <c:numRef>
              <c:f>'Summary stats'!$B$142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1"/>
          <c:order val="141"/>
          <c:tx>
            <c:strRef>
              <c:f>'Summary stats'!$A$143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stats'!$A$143</c:f>
            </c:strRef>
          </c:xVal>
          <c:yVal>
            <c:numRef>
              <c:f>'Summary stats'!$B$143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2"/>
          <c:order val="142"/>
          <c:tx>
            <c:strRef>
              <c:f>'Summary stats'!$A$144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stats'!$A$144</c:f>
            </c:strRef>
          </c:xVal>
          <c:yVal>
            <c:numRef>
              <c:f>'Summary stats'!$B$144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3"/>
          <c:order val="143"/>
          <c:tx>
            <c:strRef>
              <c:f>'Summary stats'!$A$145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stats'!$A$145</c:f>
            </c:strRef>
          </c:xVal>
          <c:yVal>
            <c:numRef>
              <c:f>'Summary stats'!$B$145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4"/>
          <c:order val="144"/>
          <c:tx>
            <c:strRef>
              <c:f>'Summary stats'!$A$146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stats'!$A$146</c:f>
            </c:strRef>
          </c:xVal>
          <c:yVal>
            <c:numRef>
              <c:f>'Summary stats'!$B$146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5"/>
          <c:order val="145"/>
          <c:tx>
            <c:strRef>
              <c:f>'Summary stats'!$A$147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stats'!$A$147</c:f>
            </c:strRef>
          </c:xVal>
          <c:yVal>
            <c:numRef>
              <c:f>'Summary stats'!$B$147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6"/>
          <c:order val="146"/>
          <c:tx>
            <c:strRef>
              <c:f>'Summary stats'!$A$148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stats'!$A$148</c:f>
            </c:strRef>
          </c:xVal>
          <c:yVal>
            <c:numRef>
              <c:f>'Summary stats'!$B$148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7"/>
          <c:order val="147"/>
          <c:tx>
            <c:strRef>
              <c:f>'Summary stats'!$A$149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stats'!$A$149</c:f>
            </c:strRef>
          </c:xVal>
          <c:yVal>
            <c:numRef>
              <c:f>'Summary stats'!$B$149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8"/>
          <c:order val="148"/>
          <c:tx>
            <c:strRef>
              <c:f>'Summary stats'!$A$150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stats'!$A$150</c:f>
            </c:strRef>
          </c:xVal>
          <c:yVal>
            <c:numRef>
              <c:f>'Summary stats'!$B$150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9"/>
          <c:order val="149"/>
          <c:tx>
            <c:strRef>
              <c:f>'Summary stats'!$A$151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stats'!$A$151</c:f>
            </c:strRef>
          </c:xVal>
          <c:yVal>
            <c:numRef>
              <c:f>'Summary stats'!$B$151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0"/>
          <c:order val="150"/>
          <c:tx>
            <c:strRef>
              <c:f>'Summary stats'!$A$152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stats'!$A$152</c:f>
            </c:strRef>
          </c:xVal>
          <c:yVal>
            <c:numRef>
              <c:f>'Summary stats'!$B$152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1"/>
          <c:order val="151"/>
          <c:tx>
            <c:strRef>
              <c:f>'Summary stats'!$A$153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stats'!$A$153</c:f>
            </c:strRef>
          </c:xVal>
          <c:yVal>
            <c:numRef>
              <c:f>'Summary stats'!$B$153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2"/>
          <c:order val="152"/>
          <c:tx>
            <c:strRef>
              <c:f>'Summary stats'!$A$154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stats'!$A$154</c:f>
            </c:strRef>
          </c:xVal>
          <c:yVal>
            <c:numRef>
              <c:f>'Summary stats'!$B$154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3"/>
          <c:order val="153"/>
          <c:tx>
            <c:strRef>
              <c:f>'Summary stats'!$A$155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stats'!$A$155</c:f>
            </c:strRef>
          </c:xVal>
          <c:yVal>
            <c:numRef>
              <c:f>'Summary stats'!$B$155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4"/>
          <c:order val="154"/>
          <c:tx>
            <c:strRef>
              <c:f>'Summary stats'!$A$156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stats'!$A$156</c:f>
            </c:strRef>
          </c:xVal>
          <c:yVal>
            <c:numRef>
              <c:f>'Summary stats'!$B$156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5"/>
          <c:order val="155"/>
          <c:tx>
            <c:strRef>
              <c:f>'Summary stats'!$A$157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stats'!$A$157</c:f>
            </c:strRef>
          </c:xVal>
          <c:yVal>
            <c:numRef>
              <c:f>'Summary stats'!$B$157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6"/>
          <c:order val="156"/>
          <c:tx>
            <c:strRef>
              <c:f>'Summary stats'!$A$158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stats'!$A$158</c:f>
            </c:strRef>
          </c:xVal>
          <c:yVal>
            <c:numRef>
              <c:f>'Summary stats'!$B$158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7"/>
          <c:order val="157"/>
          <c:tx>
            <c:strRef>
              <c:f>'Summary stats'!$A$159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stats'!$A$159</c:f>
            </c:strRef>
          </c:xVal>
          <c:yVal>
            <c:numRef>
              <c:f>'Summary stats'!$B$159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8"/>
          <c:order val="158"/>
          <c:tx>
            <c:strRef>
              <c:f>'Summary stats'!$A$160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stats'!$A$160</c:f>
            </c:strRef>
          </c:xVal>
          <c:yVal>
            <c:numRef>
              <c:f>'Summary stats'!$B$160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59"/>
          <c:order val="159"/>
          <c:tx>
            <c:strRef>
              <c:f>'Summary stats'!$A$161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stats'!$A$161</c:f>
            </c:strRef>
          </c:xVal>
          <c:yVal>
            <c:numRef>
              <c:f>'Summary stats'!$B$161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0"/>
          <c:order val="160"/>
          <c:tx>
            <c:strRef>
              <c:f>'Summary stats'!$A$162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stats'!$A$162</c:f>
            </c:strRef>
          </c:xVal>
          <c:yVal>
            <c:numRef>
              <c:f>'Summary stats'!$B$162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1"/>
          <c:order val="161"/>
          <c:tx>
            <c:strRef>
              <c:f>'Summary stats'!$A$163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stats'!$A$163</c:f>
            </c:strRef>
          </c:xVal>
          <c:yVal>
            <c:numRef>
              <c:f>'Summary stats'!$B$163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2"/>
          <c:order val="162"/>
          <c:tx>
            <c:strRef>
              <c:f>'Summary stats'!$A$164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stats'!$A$164</c:f>
            </c:strRef>
          </c:xVal>
          <c:yVal>
            <c:numRef>
              <c:f>'Summary stats'!$B$164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3"/>
          <c:order val="163"/>
          <c:tx>
            <c:strRef>
              <c:f>'Summary stats'!$A$165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stats'!$A$165</c:f>
            </c:strRef>
          </c:xVal>
          <c:yVal>
            <c:numRef>
              <c:f>'Summary stats'!$B$165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4"/>
          <c:order val="164"/>
          <c:tx>
            <c:strRef>
              <c:f>'Summary stats'!$A$166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stats'!$A$166</c:f>
            </c:strRef>
          </c:xVal>
          <c:yVal>
            <c:numRef>
              <c:f>'Summary stats'!$B$166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5"/>
          <c:order val="165"/>
          <c:tx>
            <c:strRef>
              <c:f>'Summary stats'!$A$167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stats'!$A$167</c:f>
            </c:strRef>
          </c:xVal>
          <c:yVal>
            <c:numRef>
              <c:f>'Summary stats'!$B$167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6"/>
          <c:order val="166"/>
          <c:tx>
            <c:strRef>
              <c:f>'Summary stats'!$A$168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stats'!$A$168</c:f>
            </c:strRef>
          </c:xVal>
          <c:yVal>
            <c:numRef>
              <c:f>'Summary stats'!$B$168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7"/>
          <c:order val="167"/>
          <c:tx>
            <c:strRef>
              <c:f>'Summary stats'!$A$169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stats'!$A$169</c:f>
            </c:strRef>
          </c:xVal>
          <c:yVal>
            <c:numRef>
              <c:f>'Summary stats'!$B$169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8"/>
          <c:order val="168"/>
          <c:tx>
            <c:strRef>
              <c:f>'Summary stats'!$A$170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stats'!$A$170</c:f>
            </c:strRef>
          </c:xVal>
          <c:yVal>
            <c:numRef>
              <c:f>'Summary stats'!$B$170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69"/>
          <c:order val="169"/>
          <c:tx>
            <c:strRef>
              <c:f>'Summary stats'!$A$171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stats'!$A$171</c:f>
            </c:strRef>
          </c:xVal>
          <c:yVal>
            <c:numRef>
              <c:f>'Summary stats'!$B$171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0"/>
          <c:order val="170"/>
          <c:tx>
            <c:strRef>
              <c:f>'Summary stats'!$A$172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stats'!$A$172</c:f>
            </c:strRef>
          </c:xVal>
          <c:yVal>
            <c:numRef>
              <c:f>'Summary stats'!$B$172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1"/>
          <c:order val="171"/>
          <c:tx>
            <c:strRef>
              <c:f>'Summary stats'!$A$173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stats'!$A$173</c:f>
            </c:strRef>
          </c:xVal>
          <c:yVal>
            <c:numRef>
              <c:f>'Summary stats'!$B$173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2"/>
          <c:order val="172"/>
          <c:tx>
            <c:strRef>
              <c:f>'Summary stats'!$A$174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stats'!$A$174</c:f>
            </c:strRef>
          </c:xVal>
          <c:yVal>
            <c:numRef>
              <c:f>'Summary stats'!$B$174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3"/>
          <c:order val="173"/>
          <c:tx>
            <c:strRef>
              <c:f>'Summary stats'!$A$175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stats'!$A$175</c:f>
            </c:strRef>
          </c:xVal>
          <c:yVal>
            <c:numRef>
              <c:f>'Summary stats'!$B$175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4"/>
          <c:order val="174"/>
          <c:tx>
            <c:strRef>
              <c:f>'Summary stats'!$A$176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stats'!$A$176</c:f>
            </c:strRef>
          </c:xVal>
          <c:yVal>
            <c:numRef>
              <c:f>'Summary stats'!$B$176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5"/>
          <c:order val="175"/>
          <c:tx>
            <c:strRef>
              <c:f>'Summary stats'!$A$177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stats'!$A$177</c:f>
            </c:strRef>
          </c:xVal>
          <c:yVal>
            <c:numRef>
              <c:f>'Summary stats'!$B$177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6"/>
          <c:order val="176"/>
          <c:tx>
            <c:strRef>
              <c:f>'Summary stats'!$A$178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stats'!$A$178</c:f>
            </c:strRef>
          </c:xVal>
          <c:yVal>
            <c:numRef>
              <c:f>'Summary stats'!$B$178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7"/>
          <c:order val="177"/>
          <c:tx>
            <c:strRef>
              <c:f>'Summary stats'!$A$179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stats'!$A$179</c:f>
            </c:strRef>
          </c:xVal>
          <c:yVal>
            <c:numRef>
              <c:f>'Summary stats'!$B$179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8"/>
          <c:order val="178"/>
          <c:tx>
            <c:strRef>
              <c:f>'Summary stats'!$A$180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stats'!$A$180</c:f>
            </c:strRef>
          </c:xVal>
          <c:yVal>
            <c:numRef>
              <c:f>'Summary stats'!$B$180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79"/>
          <c:order val="179"/>
          <c:tx>
            <c:strRef>
              <c:f>'Summary stats'!$A$181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stats'!$A$181</c:f>
            </c:strRef>
          </c:xVal>
          <c:yVal>
            <c:numRef>
              <c:f>'Summary stats'!$B$181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0"/>
          <c:order val="180"/>
          <c:tx>
            <c:strRef>
              <c:f>'Summary stats'!$A$182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stats'!$A$182</c:f>
            </c:strRef>
          </c:xVal>
          <c:yVal>
            <c:numRef>
              <c:f>'Summary stats'!$B$182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1"/>
          <c:order val="181"/>
          <c:tx>
            <c:strRef>
              <c:f>'Summary stats'!$A$183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stats'!$A$183</c:f>
            </c:strRef>
          </c:xVal>
          <c:yVal>
            <c:numRef>
              <c:f>'Summary stats'!$B$183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2"/>
          <c:order val="182"/>
          <c:tx>
            <c:strRef>
              <c:f>'Summary stats'!$A$184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stats'!$A$184</c:f>
            </c:strRef>
          </c:xVal>
          <c:yVal>
            <c:numRef>
              <c:f>'Summary stats'!$B$184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3"/>
          <c:order val="183"/>
          <c:tx>
            <c:strRef>
              <c:f>'Summary stats'!$A$185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stats'!$A$185</c:f>
            </c:strRef>
          </c:xVal>
          <c:yVal>
            <c:numRef>
              <c:f>'Summary stats'!$B$185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4"/>
          <c:order val="184"/>
          <c:tx>
            <c:strRef>
              <c:f>'Summary stats'!$A$186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stats'!$A$186</c:f>
            </c:strRef>
          </c:xVal>
          <c:yVal>
            <c:numRef>
              <c:f>'Summary stats'!$B$186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5"/>
          <c:order val="185"/>
          <c:tx>
            <c:strRef>
              <c:f>'Summary stats'!$A$187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stats'!$A$187</c:f>
            </c:strRef>
          </c:xVal>
          <c:yVal>
            <c:numRef>
              <c:f>'Summary stats'!$B$187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6"/>
          <c:order val="186"/>
          <c:tx>
            <c:strRef>
              <c:f>'Summary stats'!$A$188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stats'!$A$188</c:f>
            </c:strRef>
          </c:xVal>
          <c:yVal>
            <c:numRef>
              <c:f>'Summary stats'!$B$188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7"/>
          <c:order val="187"/>
          <c:tx>
            <c:strRef>
              <c:f>'Summary stats'!$A$189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stats'!$A$189</c:f>
            </c:strRef>
          </c:xVal>
          <c:yVal>
            <c:numRef>
              <c:f>'Summary stats'!$B$189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8"/>
          <c:order val="188"/>
          <c:tx>
            <c:strRef>
              <c:f>'Summary stats'!$A$190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stats'!$A$190</c:f>
            </c:strRef>
          </c:xVal>
          <c:yVal>
            <c:numRef>
              <c:f>'Summary stats'!$B$190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89"/>
          <c:order val="189"/>
          <c:tx>
            <c:strRef>
              <c:f>'Summary stats'!$A$191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stats'!$A$191</c:f>
            </c:strRef>
          </c:xVal>
          <c:yVal>
            <c:numRef>
              <c:f>'Summary stats'!$B$191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0"/>
          <c:order val="190"/>
          <c:tx>
            <c:strRef>
              <c:f>'Summary stats'!$A$192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stats'!$A$192</c:f>
            </c:strRef>
          </c:xVal>
          <c:yVal>
            <c:numRef>
              <c:f>'Summary stats'!$B$192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1"/>
          <c:order val="191"/>
          <c:tx>
            <c:strRef>
              <c:f>'Summary stats'!$A$193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stats'!$A$193</c:f>
            </c:strRef>
          </c:xVal>
          <c:yVal>
            <c:numRef>
              <c:f>'Summary stats'!$B$193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2"/>
          <c:order val="192"/>
          <c:tx>
            <c:strRef>
              <c:f>'Summary stats'!$A$194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stats'!$A$194</c:f>
            </c:strRef>
          </c:xVal>
          <c:yVal>
            <c:numRef>
              <c:f>'Summary stats'!$B$194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3"/>
          <c:order val="193"/>
          <c:tx>
            <c:strRef>
              <c:f>'Summary stats'!$A$195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stats'!$A$195</c:f>
            </c:strRef>
          </c:xVal>
          <c:yVal>
            <c:numRef>
              <c:f>'Summary stats'!$B$195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4"/>
          <c:order val="194"/>
          <c:tx>
            <c:strRef>
              <c:f>'Summary stats'!$A$196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stats'!$A$196</c:f>
            </c:strRef>
          </c:xVal>
          <c:yVal>
            <c:numRef>
              <c:f>'Summary stats'!$B$196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5"/>
          <c:order val="195"/>
          <c:tx>
            <c:strRef>
              <c:f>'Summary stats'!$A$197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stats'!$A$197</c:f>
            </c:strRef>
          </c:xVal>
          <c:yVal>
            <c:numRef>
              <c:f>'Summary stats'!$B$197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6"/>
          <c:order val="196"/>
          <c:tx>
            <c:strRef>
              <c:f>'Summary stats'!$A$198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stats'!$A$198</c:f>
            </c:strRef>
          </c:xVal>
          <c:yVal>
            <c:numRef>
              <c:f>'Summary stats'!$B$198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7"/>
          <c:order val="197"/>
          <c:tx>
            <c:strRef>
              <c:f>'Summary stats'!$A$199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stats'!$A$199</c:f>
            </c:strRef>
          </c:xVal>
          <c:yVal>
            <c:numRef>
              <c:f>'Summary stats'!$B$199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8"/>
          <c:order val="198"/>
          <c:tx>
            <c:strRef>
              <c:f>'Summary stats'!$A$200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stats'!$A$200</c:f>
            </c:strRef>
          </c:xVal>
          <c:yVal>
            <c:numRef>
              <c:f>'Summary stats'!$B$200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99"/>
          <c:order val="199"/>
          <c:tx>
            <c:strRef>
              <c:f>'Summary stats'!$A$201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stats'!$A$201</c:f>
            </c:strRef>
          </c:xVal>
          <c:yVal>
            <c:numRef>
              <c:f>'Summary stats'!$B$201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0"/>
          <c:order val="200"/>
          <c:tx>
            <c:strRef>
              <c:f>'Summary stats'!$A$202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stats'!$A$202</c:f>
            </c:strRef>
          </c:xVal>
          <c:yVal>
            <c:numRef>
              <c:f>'Summary stats'!$B$202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1"/>
          <c:order val="201"/>
          <c:tx>
            <c:strRef>
              <c:f>'Summary stats'!$A$203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stats'!$A$203</c:f>
            </c:strRef>
          </c:xVal>
          <c:yVal>
            <c:numRef>
              <c:f>'Summary stats'!$B$203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2"/>
          <c:order val="202"/>
          <c:tx>
            <c:strRef>
              <c:f>'Summary stats'!$A$204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stats'!$A$204</c:f>
            </c:strRef>
          </c:xVal>
          <c:yVal>
            <c:numRef>
              <c:f>'Summary stats'!$B$204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3"/>
          <c:order val="203"/>
          <c:tx>
            <c:strRef>
              <c:f>'Summary stats'!$A$205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stats'!$A$205</c:f>
            </c:strRef>
          </c:xVal>
          <c:yVal>
            <c:numRef>
              <c:f>'Summary stats'!$B$205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4"/>
          <c:order val="204"/>
          <c:tx>
            <c:strRef>
              <c:f>'Summary stats'!$A$206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stats'!$A$206</c:f>
            </c:strRef>
          </c:xVal>
          <c:yVal>
            <c:numRef>
              <c:f>'Summary stats'!$B$206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5"/>
          <c:order val="205"/>
          <c:tx>
            <c:strRef>
              <c:f>'Summary stats'!$A$207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stats'!$A$207</c:f>
            </c:strRef>
          </c:xVal>
          <c:yVal>
            <c:numRef>
              <c:f>'Summary stats'!$B$207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6"/>
          <c:order val="206"/>
          <c:tx>
            <c:strRef>
              <c:f>'Summary stats'!$A$208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stats'!$A$208</c:f>
            </c:strRef>
          </c:xVal>
          <c:yVal>
            <c:numRef>
              <c:f>'Summary stats'!$B$208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7"/>
          <c:order val="207"/>
          <c:tx>
            <c:strRef>
              <c:f>'Summary stats'!$A$209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stats'!$A$209</c:f>
            </c:strRef>
          </c:xVal>
          <c:yVal>
            <c:numRef>
              <c:f>'Summary stats'!$B$209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8"/>
          <c:order val="208"/>
          <c:tx>
            <c:strRef>
              <c:f>'Summary stats'!$A$210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stats'!$A$210</c:f>
            </c:strRef>
          </c:xVal>
          <c:yVal>
            <c:numRef>
              <c:f>'Summary stats'!$B$210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09"/>
          <c:order val="209"/>
          <c:tx>
            <c:strRef>
              <c:f>'Summary stats'!$A$211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stats'!$A$211</c:f>
            </c:strRef>
          </c:xVal>
          <c:yVal>
            <c:numRef>
              <c:f>'Summary stats'!$B$211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0"/>
          <c:order val="210"/>
          <c:tx>
            <c:strRef>
              <c:f>'Summary stats'!$A$212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stats'!$A$212</c:f>
            </c:strRef>
          </c:xVal>
          <c:yVal>
            <c:numRef>
              <c:f>'Summary stats'!$B$212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1"/>
          <c:order val="211"/>
          <c:tx>
            <c:strRef>
              <c:f>'Summary stats'!$A$213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stats'!$A$213</c:f>
            </c:strRef>
          </c:xVal>
          <c:yVal>
            <c:numRef>
              <c:f>'Summary stats'!$B$213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2"/>
          <c:order val="212"/>
          <c:tx>
            <c:strRef>
              <c:f>'Summary stats'!$A$214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stats'!$A$214</c:f>
            </c:strRef>
          </c:xVal>
          <c:yVal>
            <c:numRef>
              <c:f>'Summary stats'!$B$214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3"/>
          <c:order val="213"/>
          <c:tx>
            <c:strRef>
              <c:f>'Summary stats'!$A$215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stats'!$A$215</c:f>
            </c:strRef>
          </c:xVal>
          <c:yVal>
            <c:numRef>
              <c:f>'Summary stats'!$B$215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4"/>
          <c:order val="214"/>
          <c:tx>
            <c:strRef>
              <c:f>'Summary stats'!$A$216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stats'!$A$216</c:f>
            </c:strRef>
          </c:xVal>
          <c:yVal>
            <c:numRef>
              <c:f>'Summary stats'!$B$216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5"/>
          <c:order val="215"/>
          <c:tx>
            <c:strRef>
              <c:f>'Summary stats'!$A$217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stats'!$A$217</c:f>
            </c:strRef>
          </c:xVal>
          <c:yVal>
            <c:numRef>
              <c:f>'Summary stats'!$B$217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6"/>
          <c:order val="216"/>
          <c:tx>
            <c:strRef>
              <c:f>'Summary stats'!$A$218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stats'!$A$218</c:f>
            </c:strRef>
          </c:xVal>
          <c:yVal>
            <c:numRef>
              <c:f>'Summary stats'!$B$218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7"/>
          <c:order val="217"/>
          <c:tx>
            <c:strRef>
              <c:f>'Summary stats'!$A$219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stats'!$A$219</c:f>
            </c:strRef>
          </c:xVal>
          <c:yVal>
            <c:numRef>
              <c:f>'Summary stats'!$B$219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8"/>
          <c:order val="218"/>
          <c:tx>
            <c:strRef>
              <c:f>'Summary stats'!$A$220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stats'!$A$220</c:f>
            </c:strRef>
          </c:xVal>
          <c:yVal>
            <c:numRef>
              <c:f>'Summary stats'!$B$220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19"/>
          <c:order val="219"/>
          <c:tx>
            <c:strRef>
              <c:f>'Summary stats'!$A$221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stats'!$A$221</c:f>
            </c:strRef>
          </c:xVal>
          <c:yVal>
            <c:numRef>
              <c:f>'Summary stats'!$B$221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0"/>
          <c:order val="220"/>
          <c:tx>
            <c:strRef>
              <c:f>'Summary stats'!$A$222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stats'!$A$222</c:f>
            </c:strRef>
          </c:xVal>
          <c:yVal>
            <c:numRef>
              <c:f>'Summary stats'!$B$222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1"/>
          <c:order val="221"/>
          <c:tx>
            <c:strRef>
              <c:f>'Summary stats'!$A$223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stats'!$A$223</c:f>
            </c:strRef>
          </c:xVal>
          <c:yVal>
            <c:numRef>
              <c:f>'Summary stats'!$B$223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2"/>
          <c:order val="222"/>
          <c:tx>
            <c:strRef>
              <c:f>'Summary stats'!$A$224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stats'!$A$224</c:f>
            </c:strRef>
          </c:xVal>
          <c:yVal>
            <c:numRef>
              <c:f>'Summary stats'!$B$224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3"/>
          <c:order val="223"/>
          <c:tx>
            <c:strRef>
              <c:f>'Summary stats'!$A$225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stats'!$A$225</c:f>
            </c:strRef>
          </c:xVal>
          <c:yVal>
            <c:numRef>
              <c:f>'Summary stats'!$B$225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4"/>
          <c:order val="224"/>
          <c:tx>
            <c:strRef>
              <c:f>'Summary stats'!$A$226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stats'!$A$226</c:f>
            </c:strRef>
          </c:xVal>
          <c:yVal>
            <c:numRef>
              <c:f>'Summary stats'!$B$226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5"/>
          <c:order val="225"/>
          <c:tx>
            <c:strRef>
              <c:f>'Summary stats'!$A$227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stats'!$A$227</c:f>
            </c:strRef>
          </c:xVal>
          <c:yVal>
            <c:numRef>
              <c:f>'Summary stats'!$B$227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6"/>
          <c:order val="226"/>
          <c:tx>
            <c:strRef>
              <c:f>'Summary stats'!$A$228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stats'!$A$228</c:f>
            </c:strRef>
          </c:xVal>
          <c:yVal>
            <c:numRef>
              <c:f>'Summary stats'!$B$228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7"/>
          <c:order val="227"/>
          <c:tx>
            <c:strRef>
              <c:f>'Summary stats'!$A$229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stats'!$A$229</c:f>
            </c:strRef>
          </c:xVal>
          <c:yVal>
            <c:numRef>
              <c:f>'Summary stats'!$B$229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8"/>
          <c:order val="228"/>
          <c:tx>
            <c:strRef>
              <c:f>'Summary stats'!$A$230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stats'!$A$230</c:f>
            </c:strRef>
          </c:xVal>
          <c:yVal>
            <c:numRef>
              <c:f>'Summary stats'!$B$230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29"/>
          <c:order val="229"/>
          <c:tx>
            <c:strRef>
              <c:f>'Summary stats'!$A$231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stats'!$A$231</c:f>
            </c:strRef>
          </c:xVal>
          <c:yVal>
            <c:numRef>
              <c:f>'Summary stats'!$B$231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0"/>
          <c:order val="230"/>
          <c:tx>
            <c:strRef>
              <c:f>'Summary stats'!$A$232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stats'!$A$232</c:f>
            </c:strRef>
          </c:xVal>
          <c:yVal>
            <c:numRef>
              <c:f>'Summary stats'!$B$232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1"/>
          <c:order val="231"/>
          <c:tx>
            <c:strRef>
              <c:f>'Summary stats'!$A$233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stats'!$A$233</c:f>
            </c:strRef>
          </c:xVal>
          <c:yVal>
            <c:numRef>
              <c:f>'Summary stats'!$B$233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2"/>
          <c:order val="232"/>
          <c:tx>
            <c:strRef>
              <c:f>'Summary stats'!$A$234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stats'!$A$234</c:f>
            </c:strRef>
          </c:xVal>
          <c:yVal>
            <c:numRef>
              <c:f>'Summary stats'!$B$234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3"/>
          <c:order val="233"/>
          <c:tx>
            <c:strRef>
              <c:f>'Summary stats'!$A$235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stats'!$A$235</c:f>
            </c:strRef>
          </c:xVal>
          <c:yVal>
            <c:numRef>
              <c:f>'Summary stats'!$B$235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4"/>
          <c:order val="234"/>
          <c:tx>
            <c:strRef>
              <c:f>'Summary stats'!$A$236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stats'!$A$236</c:f>
            </c:strRef>
          </c:xVal>
          <c:yVal>
            <c:numRef>
              <c:f>'Summary stats'!$B$236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5"/>
          <c:order val="235"/>
          <c:tx>
            <c:strRef>
              <c:f>'Summary stats'!$A$237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stats'!$A$237</c:f>
            </c:strRef>
          </c:xVal>
          <c:yVal>
            <c:numRef>
              <c:f>'Summary stats'!$B$237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6"/>
          <c:order val="236"/>
          <c:tx>
            <c:strRef>
              <c:f>'Summary stats'!$A$238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stats'!$A$238</c:f>
            </c:strRef>
          </c:xVal>
          <c:yVal>
            <c:numRef>
              <c:f>'Summary stats'!$B$238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7"/>
          <c:order val="237"/>
          <c:tx>
            <c:strRef>
              <c:f>'Summary stats'!$A$239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stats'!$A$239</c:f>
            </c:strRef>
          </c:xVal>
          <c:yVal>
            <c:numRef>
              <c:f>'Summary stats'!$B$239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8"/>
          <c:order val="238"/>
          <c:tx>
            <c:strRef>
              <c:f>'Summary stats'!$A$240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stats'!$A$240</c:f>
            </c:strRef>
          </c:xVal>
          <c:yVal>
            <c:numRef>
              <c:f>'Summary stats'!$B$240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39"/>
          <c:order val="239"/>
          <c:tx>
            <c:strRef>
              <c:f>'Summary stats'!$A$241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stats'!$A$241</c:f>
            </c:strRef>
          </c:xVal>
          <c:yVal>
            <c:numRef>
              <c:f>'Summary stats'!$B$241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0"/>
          <c:order val="240"/>
          <c:tx>
            <c:strRef>
              <c:f>'Summary stats'!$A$242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stats'!$A$242</c:f>
            </c:strRef>
          </c:xVal>
          <c:yVal>
            <c:numRef>
              <c:f>'Summary stats'!$B$242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1"/>
          <c:order val="241"/>
          <c:tx>
            <c:strRef>
              <c:f>'Summary stats'!$A$243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stats'!$A$243</c:f>
            </c:strRef>
          </c:xVal>
          <c:yVal>
            <c:numRef>
              <c:f>'Summary stats'!$B$243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2"/>
          <c:order val="242"/>
          <c:tx>
            <c:strRef>
              <c:f>'Summary stats'!$A$244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stats'!$A$244</c:f>
            </c:strRef>
          </c:xVal>
          <c:yVal>
            <c:numRef>
              <c:f>'Summary stats'!$B$244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3"/>
          <c:order val="243"/>
          <c:tx>
            <c:strRef>
              <c:f>'Summary stats'!$A$245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stats'!$A$245</c:f>
            </c:strRef>
          </c:xVal>
          <c:yVal>
            <c:numRef>
              <c:f>'Summary stats'!$B$245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4"/>
          <c:order val="244"/>
          <c:tx>
            <c:strRef>
              <c:f>'Summary stats'!$A$246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stats'!$A$246</c:f>
            </c:strRef>
          </c:xVal>
          <c:yVal>
            <c:numRef>
              <c:f>'Summary stats'!$B$246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5"/>
          <c:order val="245"/>
          <c:tx>
            <c:strRef>
              <c:f>'Summary stats'!$A$247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stats'!$A$247</c:f>
            </c:strRef>
          </c:xVal>
          <c:yVal>
            <c:numRef>
              <c:f>'Summary stats'!$B$247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6"/>
          <c:order val="246"/>
          <c:tx>
            <c:strRef>
              <c:f>'Summary stats'!$A$248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stats'!$A$248</c:f>
            </c:strRef>
          </c:xVal>
          <c:yVal>
            <c:numRef>
              <c:f>'Summary stats'!$B$248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7"/>
          <c:order val="247"/>
          <c:tx>
            <c:strRef>
              <c:f>'Summary stats'!$A$249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stats'!$A$249</c:f>
            </c:strRef>
          </c:xVal>
          <c:yVal>
            <c:numRef>
              <c:f>'Summary stats'!$B$249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8"/>
          <c:order val="248"/>
          <c:tx>
            <c:strRef>
              <c:f>'Summary stats'!$A$250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stats'!$A$250</c:f>
            </c:strRef>
          </c:xVal>
          <c:yVal>
            <c:numRef>
              <c:f>'Summary stats'!$B$250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49"/>
          <c:order val="249"/>
          <c:tx>
            <c:strRef>
              <c:f>'Summary stats'!$A$251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stats'!$A$251</c:f>
            </c:strRef>
          </c:xVal>
          <c:yVal>
            <c:numRef>
              <c:f>'Summary stats'!$B$251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0"/>
          <c:order val="250"/>
          <c:tx>
            <c:strRef>
              <c:f>'Summary stats'!$A$252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stats'!$A$252</c:f>
            </c:strRef>
          </c:xVal>
          <c:yVal>
            <c:numRef>
              <c:f>'Summary stats'!$B$252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1"/>
          <c:order val="251"/>
          <c:tx>
            <c:strRef>
              <c:f>'Summary stats'!$A$253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stats'!$A$253</c:f>
            </c:strRef>
          </c:xVal>
          <c:yVal>
            <c:numRef>
              <c:f>'Summary stats'!$B$253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2"/>
          <c:order val="252"/>
          <c:tx>
            <c:strRef>
              <c:f>'Summary stats'!$A$254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stats'!$A$254</c:f>
            </c:strRef>
          </c:xVal>
          <c:yVal>
            <c:numRef>
              <c:f>'Summary stats'!$B$254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3"/>
          <c:order val="253"/>
          <c:tx>
            <c:strRef>
              <c:f>'Summary stats'!$A$255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stats'!$A$255</c:f>
            </c:strRef>
          </c:xVal>
          <c:yVal>
            <c:numRef>
              <c:f>'Summary stats'!$B$255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4"/>
          <c:order val="254"/>
          <c:tx>
            <c:strRef>
              <c:f>'Summary stats'!$A$256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stats'!$A$256</c:f>
            </c:strRef>
          </c:xVal>
          <c:yVal>
            <c:numRef>
              <c:f>'Summary stats'!$B$256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5"/>
          <c:order val="255"/>
          <c:tx>
            <c:strRef>
              <c:f>'Summary stats'!$A$257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stats'!$A$257</c:f>
            </c:strRef>
          </c:xVal>
          <c:yVal>
            <c:numRef>
              <c:f>'Summary stats'!$B$257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6"/>
          <c:order val="256"/>
          <c:tx>
            <c:strRef>
              <c:f>'Summary stats'!$A$258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stats'!$A$258</c:f>
            </c:strRef>
          </c:xVal>
          <c:yVal>
            <c:numRef>
              <c:f>'Summary stats'!$B$258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7"/>
          <c:order val="257"/>
          <c:tx>
            <c:strRef>
              <c:f>'Summary stats'!$A$259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stats'!$A$259</c:f>
            </c:strRef>
          </c:xVal>
          <c:yVal>
            <c:numRef>
              <c:f>'Summary stats'!$B$259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8"/>
          <c:order val="258"/>
          <c:tx>
            <c:strRef>
              <c:f>'Summary stats'!$A$260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stats'!$A$260</c:f>
            </c:strRef>
          </c:xVal>
          <c:yVal>
            <c:numRef>
              <c:f>'Summary stats'!$B$260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59"/>
          <c:order val="259"/>
          <c:tx>
            <c:strRef>
              <c:f>'Summary stats'!$A$261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stats'!$A$261</c:f>
            </c:strRef>
          </c:xVal>
          <c:yVal>
            <c:numRef>
              <c:f>'Summary stats'!$B$261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0"/>
          <c:order val="260"/>
          <c:tx>
            <c:strRef>
              <c:f>'Summary stats'!$A$262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stats'!$A$262</c:f>
            </c:strRef>
          </c:xVal>
          <c:yVal>
            <c:numRef>
              <c:f>'Summary stats'!$B$262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1"/>
          <c:order val="261"/>
          <c:tx>
            <c:strRef>
              <c:f>'Summary stats'!$A$263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stats'!$A$263</c:f>
            </c:strRef>
          </c:xVal>
          <c:yVal>
            <c:numRef>
              <c:f>'Summary stats'!$B$263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2"/>
          <c:order val="262"/>
          <c:tx>
            <c:strRef>
              <c:f>'Summary stats'!$A$264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stats'!$A$264</c:f>
            </c:strRef>
          </c:xVal>
          <c:yVal>
            <c:numRef>
              <c:f>'Summary stats'!$B$264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3"/>
          <c:order val="263"/>
          <c:tx>
            <c:strRef>
              <c:f>'Summary stats'!$A$265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stats'!$A$265</c:f>
            </c:strRef>
          </c:xVal>
          <c:yVal>
            <c:numRef>
              <c:f>'Summary stats'!$B$265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4"/>
          <c:order val="264"/>
          <c:tx>
            <c:strRef>
              <c:f>'Summary stats'!$A$266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stats'!$A$266</c:f>
            </c:strRef>
          </c:xVal>
          <c:yVal>
            <c:numRef>
              <c:f>'Summary stats'!$B$266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5"/>
          <c:order val="265"/>
          <c:tx>
            <c:strRef>
              <c:f>'Summary stats'!$A$267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stats'!$A$267</c:f>
            </c:strRef>
          </c:xVal>
          <c:yVal>
            <c:numRef>
              <c:f>'Summary stats'!$B$267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6"/>
          <c:order val="266"/>
          <c:tx>
            <c:strRef>
              <c:f>'Summary stats'!$A$268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stats'!$A$268</c:f>
            </c:strRef>
          </c:xVal>
          <c:yVal>
            <c:numRef>
              <c:f>'Summary stats'!$B$268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7"/>
          <c:order val="267"/>
          <c:tx>
            <c:strRef>
              <c:f>'Summary stats'!$A$269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stats'!$A$269</c:f>
            </c:strRef>
          </c:xVal>
          <c:yVal>
            <c:numRef>
              <c:f>'Summary stats'!$B$269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8"/>
          <c:order val="268"/>
          <c:tx>
            <c:strRef>
              <c:f>'Summary stats'!$A$270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stats'!$A$270</c:f>
            </c:strRef>
          </c:xVal>
          <c:yVal>
            <c:numRef>
              <c:f>'Summary stats'!$B$270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69"/>
          <c:order val="269"/>
          <c:tx>
            <c:strRef>
              <c:f>'Summary stats'!$A$271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stats'!$A$271</c:f>
            </c:strRef>
          </c:xVal>
          <c:yVal>
            <c:numRef>
              <c:f>'Summary stats'!$B$271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0"/>
          <c:order val="270"/>
          <c:tx>
            <c:strRef>
              <c:f>'Summary stats'!$A$272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stats'!$A$272</c:f>
            </c:strRef>
          </c:xVal>
          <c:yVal>
            <c:numRef>
              <c:f>'Summary stats'!$B$272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1"/>
          <c:order val="271"/>
          <c:tx>
            <c:strRef>
              <c:f>'Summary stats'!$A$273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stats'!$A$273</c:f>
            </c:strRef>
          </c:xVal>
          <c:yVal>
            <c:numRef>
              <c:f>'Summary stats'!$B$273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2"/>
          <c:order val="272"/>
          <c:tx>
            <c:strRef>
              <c:f>'Summary stats'!$A$274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stats'!$A$274</c:f>
            </c:strRef>
          </c:xVal>
          <c:yVal>
            <c:numRef>
              <c:f>'Summary stats'!$B$274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3"/>
          <c:order val="273"/>
          <c:tx>
            <c:strRef>
              <c:f>'Summary stats'!$A$275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stats'!$A$275</c:f>
            </c:strRef>
          </c:xVal>
          <c:yVal>
            <c:numRef>
              <c:f>'Summary stats'!$B$275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4"/>
          <c:order val="274"/>
          <c:tx>
            <c:strRef>
              <c:f>'Summary stats'!$A$276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stats'!$A$276</c:f>
            </c:strRef>
          </c:xVal>
          <c:yVal>
            <c:numRef>
              <c:f>'Summary stats'!$B$276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5"/>
          <c:order val="275"/>
          <c:tx>
            <c:strRef>
              <c:f>'Summary stats'!$A$277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stats'!$A$277</c:f>
            </c:strRef>
          </c:xVal>
          <c:yVal>
            <c:numRef>
              <c:f>'Summary stats'!$B$277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6"/>
          <c:order val="276"/>
          <c:tx>
            <c:strRef>
              <c:f>'Summary stats'!$A$278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stats'!$A$278</c:f>
            </c:strRef>
          </c:xVal>
          <c:yVal>
            <c:numRef>
              <c:f>'Summary stats'!$B$278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7"/>
          <c:order val="277"/>
          <c:tx>
            <c:strRef>
              <c:f>'Summary stats'!$A$279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stats'!$A$279</c:f>
            </c:strRef>
          </c:xVal>
          <c:yVal>
            <c:numRef>
              <c:f>'Summary stats'!$B$279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8"/>
          <c:order val="278"/>
          <c:tx>
            <c:strRef>
              <c:f>'Summary stats'!$A$280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stats'!$A$280</c:f>
            </c:strRef>
          </c:xVal>
          <c:yVal>
            <c:numRef>
              <c:f>'Summary stats'!$B$280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79"/>
          <c:order val="279"/>
          <c:tx>
            <c:strRef>
              <c:f>'Summary stats'!$A$281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stats'!$A$281</c:f>
            </c:strRef>
          </c:xVal>
          <c:yVal>
            <c:numRef>
              <c:f>'Summary stats'!$B$281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0"/>
          <c:order val="280"/>
          <c:tx>
            <c:strRef>
              <c:f>'Summary stats'!$A$282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stats'!$A$282</c:f>
            </c:strRef>
          </c:xVal>
          <c:yVal>
            <c:numRef>
              <c:f>'Summary stats'!$B$282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1"/>
          <c:order val="281"/>
          <c:tx>
            <c:strRef>
              <c:f>'Summary stats'!$A$283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stats'!$A$283</c:f>
            </c:strRef>
          </c:xVal>
          <c:yVal>
            <c:numRef>
              <c:f>'Summary stats'!$B$283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2"/>
          <c:order val="282"/>
          <c:tx>
            <c:strRef>
              <c:f>'Summary stats'!$A$284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stats'!$A$284</c:f>
            </c:strRef>
          </c:xVal>
          <c:yVal>
            <c:numRef>
              <c:f>'Summary stats'!$B$284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3"/>
          <c:order val="283"/>
          <c:tx>
            <c:strRef>
              <c:f>'Summary stats'!$A$285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stats'!$A$285</c:f>
            </c:strRef>
          </c:xVal>
          <c:yVal>
            <c:numRef>
              <c:f>'Summary stats'!$B$285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4"/>
          <c:order val="284"/>
          <c:tx>
            <c:strRef>
              <c:f>'Summary stats'!$A$286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stats'!$A$286</c:f>
            </c:strRef>
          </c:xVal>
          <c:yVal>
            <c:numRef>
              <c:f>'Summary stats'!$B$286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5"/>
          <c:order val="285"/>
          <c:tx>
            <c:strRef>
              <c:f>'Summary stats'!$A$287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stats'!$A$287</c:f>
            </c:strRef>
          </c:xVal>
          <c:yVal>
            <c:numRef>
              <c:f>'Summary stats'!$B$287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6"/>
          <c:order val="286"/>
          <c:tx>
            <c:strRef>
              <c:f>'Summary stats'!$A$288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stats'!$A$288</c:f>
            </c:strRef>
          </c:xVal>
          <c:yVal>
            <c:numRef>
              <c:f>'Summary stats'!$B$288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7"/>
          <c:order val="287"/>
          <c:tx>
            <c:strRef>
              <c:f>'Summary stats'!$A$289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stats'!$A$289</c:f>
            </c:strRef>
          </c:xVal>
          <c:yVal>
            <c:numRef>
              <c:f>'Summary stats'!$B$289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8"/>
          <c:order val="288"/>
          <c:tx>
            <c:strRef>
              <c:f>'Summary stats'!$A$290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stats'!$A$290</c:f>
            </c:strRef>
          </c:xVal>
          <c:yVal>
            <c:numRef>
              <c:f>'Summary stats'!$B$290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89"/>
          <c:order val="289"/>
          <c:tx>
            <c:strRef>
              <c:f>'Summary stats'!$A$291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stats'!$A$291</c:f>
            </c:strRef>
          </c:xVal>
          <c:yVal>
            <c:numRef>
              <c:f>'Summary stats'!$B$291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0"/>
          <c:order val="290"/>
          <c:tx>
            <c:strRef>
              <c:f>'Summary stats'!$A$292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stats'!$A$292</c:f>
            </c:strRef>
          </c:xVal>
          <c:yVal>
            <c:numRef>
              <c:f>'Summary stats'!$B$292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1"/>
          <c:order val="291"/>
          <c:tx>
            <c:strRef>
              <c:f>'Summary stats'!$A$293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stats'!$A$293</c:f>
            </c:strRef>
          </c:xVal>
          <c:yVal>
            <c:numRef>
              <c:f>'Summary stats'!$B$293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2"/>
          <c:order val="292"/>
          <c:tx>
            <c:strRef>
              <c:f>'Summary stats'!$A$294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stats'!$A$294</c:f>
            </c:strRef>
          </c:xVal>
          <c:yVal>
            <c:numRef>
              <c:f>'Summary stats'!$B$294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3"/>
          <c:order val="293"/>
          <c:tx>
            <c:strRef>
              <c:f>'Summary stats'!$A$295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stats'!$A$295</c:f>
            </c:strRef>
          </c:xVal>
          <c:yVal>
            <c:numRef>
              <c:f>'Summary stats'!$B$295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4"/>
          <c:order val="294"/>
          <c:tx>
            <c:strRef>
              <c:f>'Summary stats'!$A$296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stats'!$A$296</c:f>
            </c:strRef>
          </c:xVal>
          <c:yVal>
            <c:numRef>
              <c:f>'Summary stats'!$B$296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5"/>
          <c:order val="295"/>
          <c:tx>
            <c:strRef>
              <c:f>'Summary stats'!$A$297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stats'!$A$297</c:f>
            </c:strRef>
          </c:xVal>
          <c:yVal>
            <c:numRef>
              <c:f>'Summary stats'!$B$297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6"/>
          <c:order val="296"/>
          <c:tx>
            <c:strRef>
              <c:f>'Summary stats'!$A$298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stats'!$A$298</c:f>
            </c:strRef>
          </c:xVal>
          <c:yVal>
            <c:numRef>
              <c:f>'Summary stats'!$B$298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7"/>
          <c:order val="297"/>
          <c:tx>
            <c:strRef>
              <c:f>'Summary stats'!$A$299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stats'!$A$299</c:f>
            </c:strRef>
          </c:xVal>
          <c:yVal>
            <c:numRef>
              <c:f>'Summary stats'!$B$299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8"/>
          <c:order val="298"/>
          <c:tx>
            <c:strRef>
              <c:f>'Summary stats'!$A$300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stats'!$A$300</c:f>
            </c:strRef>
          </c:xVal>
          <c:yVal>
            <c:numRef>
              <c:f>'Summary stats'!$B$300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99"/>
          <c:order val="299"/>
          <c:tx>
            <c:strRef>
              <c:f>'Summary stats'!$A$301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stats'!$A$301</c:f>
            </c:strRef>
          </c:xVal>
          <c:yVal>
            <c:numRef>
              <c:f>'Summary stats'!$B$301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0"/>
          <c:order val="300"/>
          <c:tx>
            <c:strRef>
              <c:f>'Summary stats'!$A$302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stats'!$A$302</c:f>
            </c:strRef>
          </c:xVal>
          <c:yVal>
            <c:numRef>
              <c:f>'Summary stats'!$B$302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1"/>
          <c:order val="301"/>
          <c:tx>
            <c:strRef>
              <c:f>'Summary stats'!$A$303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stats'!$A$303</c:f>
            </c:strRef>
          </c:xVal>
          <c:yVal>
            <c:numRef>
              <c:f>'Summary stats'!$B$303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2"/>
          <c:order val="302"/>
          <c:tx>
            <c:strRef>
              <c:f>'Summary stats'!$A$304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stats'!$A$304</c:f>
            </c:strRef>
          </c:xVal>
          <c:yVal>
            <c:numRef>
              <c:f>'Summary stats'!$B$304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3"/>
          <c:order val="303"/>
          <c:tx>
            <c:strRef>
              <c:f>'Summary stats'!$A$305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stats'!$A$305</c:f>
            </c:strRef>
          </c:xVal>
          <c:yVal>
            <c:numRef>
              <c:f>'Summary stats'!$B$305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4"/>
          <c:order val="304"/>
          <c:tx>
            <c:strRef>
              <c:f>'Summary stats'!$A$306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stats'!$A$306</c:f>
            </c:strRef>
          </c:xVal>
          <c:yVal>
            <c:numRef>
              <c:f>'Summary stats'!$B$306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5"/>
          <c:order val="305"/>
          <c:tx>
            <c:strRef>
              <c:f>'Summary stats'!$A$307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stats'!$A$307</c:f>
            </c:strRef>
          </c:xVal>
          <c:yVal>
            <c:numRef>
              <c:f>'Summary stats'!$B$307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6"/>
          <c:order val="306"/>
          <c:tx>
            <c:strRef>
              <c:f>'Summary stats'!$A$308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stats'!$A$308</c:f>
            </c:strRef>
          </c:xVal>
          <c:yVal>
            <c:numRef>
              <c:f>'Summary stats'!$B$308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7"/>
          <c:order val="307"/>
          <c:tx>
            <c:strRef>
              <c:f>'Summary stats'!$A$309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stats'!$A$309</c:f>
            </c:strRef>
          </c:xVal>
          <c:yVal>
            <c:numRef>
              <c:f>'Summary stats'!$B$309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8"/>
          <c:order val="308"/>
          <c:tx>
            <c:strRef>
              <c:f>'Summary stats'!$A$310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stats'!$A$310</c:f>
            </c:strRef>
          </c:xVal>
          <c:yVal>
            <c:numRef>
              <c:f>'Summary stats'!$B$310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09"/>
          <c:order val="309"/>
          <c:tx>
            <c:strRef>
              <c:f>'Summary stats'!$A$311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stats'!$A$311</c:f>
            </c:strRef>
          </c:xVal>
          <c:yVal>
            <c:numRef>
              <c:f>'Summary stats'!$B$311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0"/>
          <c:order val="310"/>
          <c:tx>
            <c:strRef>
              <c:f>'Summary stats'!$A$312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stats'!$A$312</c:f>
            </c:strRef>
          </c:xVal>
          <c:yVal>
            <c:numRef>
              <c:f>'Summary stats'!$B$312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1"/>
          <c:order val="311"/>
          <c:tx>
            <c:strRef>
              <c:f>'Summary stats'!$A$313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stats'!$A$313</c:f>
            </c:strRef>
          </c:xVal>
          <c:yVal>
            <c:numRef>
              <c:f>'Summary stats'!$B$313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2"/>
          <c:order val="312"/>
          <c:tx>
            <c:strRef>
              <c:f>'Summary stats'!$A$314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stats'!$A$314</c:f>
            </c:strRef>
          </c:xVal>
          <c:yVal>
            <c:numRef>
              <c:f>'Summary stats'!$B$314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3"/>
          <c:order val="313"/>
          <c:tx>
            <c:strRef>
              <c:f>'Summary stats'!$A$315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stats'!$A$315</c:f>
            </c:strRef>
          </c:xVal>
          <c:yVal>
            <c:numRef>
              <c:f>'Summary stats'!$B$315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4"/>
          <c:order val="314"/>
          <c:tx>
            <c:strRef>
              <c:f>'Summary stats'!$A$316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stats'!$A$316</c:f>
            </c:strRef>
          </c:xVal>
          <c:yVal>
            <c:numRef>
              <c:f>'Summary stats'!$B$316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5"/>
          <c:order val="315"/>
          <c:tx>
            <c:strRef>
              <c:f>'Summary stats'!$A$317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stats'!$A$317</c:f>
            </c:strRef>
          </c:xVal>
          <c:yVal>
            <c:numRef>
              <c:f>'Summary stats'!$B$317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6"/>
          <c:order val="316"/>
          <c:tx>
            <c:strRef>
              <c:f>'Summary stats'!$A$318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stats'!$A$318</c:f>
            </c:strRef>
          </c:xVal>
          <c:yVal>
            <c:numRef>
              <c:f>'Summary stats'!$B$318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7"/>
          <c:order val="317"/>
          <c:tx>
            <c:strRef>
              <c:f>'Summary stats'!$A$319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stats'!$A$319</c:f>
            </c:strRef>
          </c:xVal>
          <c:yVal>
            <c:numRef>
              <c:f>'Summary stats'!$B$319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8"/>
          <c:order val="318"/>
          <c:tx>
            <c:strRef>
              <c:f>'Summary stats'!$A$320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stats'!$A$320</c:f>
            </c:strRef>
          </c:xVal>
          <c:yVal>
            <c:numRef>
              <c:f>'Summary stats'!$B$320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19"/>
          <c:order val="319"/>
          <c:tx>
            <c:strRef>
              <c:f>'Summary stats'!$A$321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stats'!$A$321</c:f>
            </c:strRef>
          </c:xVal>
          <c:yVal>
            <c:numRef>
              <c:f>'Summary stats'!$B$321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0"/>
          <c:order val="320"/>
          <c:tx>
            <c:strRef>
              <c:f>'Summary stats'!$A$322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stats'!$A$322</c:f>
            </c:strRef>
          </c:xVal>
          <c:yVal>
            <c:numRef>
              <c:f>'Summary stats'!$B$322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1"/>
          <c:order val="321"/>
          <c:tx>
            <c:strRef>
              <c:f>'Summary stats'!$A$323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stats'!$A$323</c:f>
            </c:strRef>
          </c:xVal>
          <c:yVal>
            <c:numRef>
              <c:f>'Summary stats'!$B$323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2"/>
          <c:order val="322"/>
          <c:tx>
            <c:strRef>
              <c:f>'Summary stats'!$A$324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stats'!$A$324</c:f>
            </c:strRef>
          </c:xVal>
          <c:yVal>
            <c:numRef>
              <c:f>'Summary stats'!$B$324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3"/>
          <c:order val="323"/>
          <c:tx>
            <c:strRef>
              <c:f>'Summary stats'!$A$325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stats'!$A$325</c:f>
            </c:strRef>
          </c:xVal>
          <c:yVal>
            <c:numRef>
              <c:f>'Summary stats'!$B$325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4"/>
          <c:order val="324"/>
          <c:tx>
            <c:strRef>
              <c:f>'Summary stats'!$A$326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stats'!$A$326</c:f>
            </c:strRef>
          </c:xVal>
          <c:yVal>
            <c:numRef>
              <c:f>'Summary stats'!$B$326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5"/>
          <c:order val="325"/>
          <c:tx>
            <c:strRef>
              <c:f>'Summary stats'!$A$327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stats'!$A$327</c:f>
            </c:strRef>
          </c:xVal>
          <c:yVal>
            <c:numRef>
              <c:f>'Summary stats'!$B$327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6"/>
          <c:order val="326"/>
          <c:tx>
            <c:strRef>
              <c:f>'Summary stats'!$A$328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stats'!$A$328</c:f>
            </c:strRef>
          </c:xVal>
          <c:yVal>
            <c:numRef>
              <c:f>'Summary stats'!$B$328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7"/>
          <c:order val="327"/>
          <c:tx>
            <c:strRef>
              <c:f>'Summary stats'!$A$329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stats'!$A$329</c:f>
            </c:strRef>
          </c:xVal>
          <c:yVal>
            <c:numRef>
              <c:f>'Summary stats'!$B$329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8"/>
          <c:order val="328"/>
          <c:tx>
            <c:strRef>
              <c:f>'Summary stats'!$A$330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stats'!$A$330</c:f>
            </c:strRef>
          </c:xVal>
          <c:yVal>
            <c:numRef>
              <c:f>'Summary stats'!$B$330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29"/>
          <c:order val="329"/>
          <c:tx>
            <c:strRef>
              <c:f>'Summary stats'!$A$331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stats'!$A$331</c:f>
            </c:strRef>
          </c:xVal>
          <c:yVal>
            <c:numRef>
              <c:f>'Summary stats'!$B$331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0"/>
          <c:order val="330"/>
          <c:tx>
            <c:strRef>
              <c:f>'Summary stats'!$A$332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stats'!$A$332</c:f>
            </c:strRef>
          </c:xVal>
          <c:yVal>
            <c:numRef>
              <c:f>'Summary stats'!$B$332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1"/>
          <c:order val="331"/>
          <c:tx>
            <c:strRef>
              <c:f>'Summary stats'!$A$333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stats'!$A$333</c:f>
            </c:strRef>
          </c:xVal>
          <c:yVal>
            <c:numRef>
              <c:f>'Summary stats'!$B$333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2"/>
          <c:order val="332"/>
          <c:tx>
            <c:strRef>
              <c:f>'Summary stats'!$A$334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stats'!$A$334</c:f>
            </c:strRef>
          </c:xVal>
          <c:yVal>
            <c:numRef>
              <c:f>'Summary stats'!$B$334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3"/>
          <c:order val="333"/>
          <c:tx>
            <c:strRef>
              <c:f>'Summary stats'!$A$335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stats'!$A$335</c:f>
            </c:strRef>
          </c:xVal>
          <c:yVal>
            <c:numRef>
              <c:f>'Summary stats'!$B$335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4"/>
          <c:order val="334"/>
          <c:tx>
            <c:strRef>
              <c:f>'Summary stats'!$A$336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stats'!$A$336</c:f>
            </c:strRef>
          </c:xVal>
          <c:yVal>
            <c:numRef>
              <c:f>'Summary stats'!$B$336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5"/>
          <c:order val="335"/>
          <c:tx>
            <c:strRef>
              <c:f>'Summary stats'!$A$337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stats'!$A$337</c:f>
            </c:strRef>
          </c:xVal>
          <c:yVal>
            <c:numRef>
              <c:f>'Summary stats'!$B$337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6"/>
          <c:order val="336"/>
          <c:tx>
            <c:strRef>
              <c:f>'Summary stats'!$A$338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stats'!$A$338</c:f>
            </c:strRef>
          </c:xVal>
          <c:yVal>
            <c:numRef>
              <c:f>'Summary stats'!$B$338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7"/>
          <c:order val="337"/>
          <c:tx>
            <c:strRef>
              <c:f>'Summary stats'!$A$339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stats'!$A$339</c:f>
            </c:strRef>
          </c:xVal>
          <c:yVal>
            <c:numRef>
              <c:f>'Summary stats'!$B$339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8"/>
          <c:order val="338"/>
          <c:tx>
            <c:strRef>
              <c:f>'Summary stats'!$A$340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stats'!$A$340</c:f>
            </c:strRef>
          </c:xVal>
          <c:yVal>
            <c:numRef>
              <c:f>'Summary stats'!$B$340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39"/>
          <c:order val="339"/>
          <c:tx>
            <c:strRef>
              <c:f>'Summary stats'!$A$341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stats'!$A$341</c:f>
            </c:strRef>
          </c:xVal>
          <c:yVal>
            <c:numRef>
              <c:f>'Summary stats'!$B$341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0"/>
          <c:order val="340"/>
          <c:tx>
            <c:strRef>
              <c:f>'Summary stats'!$A$342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stats'!$A$342</c:f>
            </c:strRef>
          </c:xVal>
          <c:yVal>
            <c:numRef>
              <c:f>'Summary stats'!$B$342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1"/>
          <c:order val="341"/>
          <c:tx>
            <c:strRef>
              <c:f>'Summary stats'!$A$343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stats'!$A$343</c:f>
            </c:strRef>
          </c:xVal>
          <c:yVal>
            <c:numRef>
              <c:f>'Summary stats'!$B$343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2"/>
          <c:order val="342"/>
          <c:tx>
            <c:strRef>
              <c:f>'Summary stats'!$A$344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stats'!$A$344</c:f>
            </c:strRef>
          </c:xVal>
          <c:yVal>
            <c:numRef>
              <c:f>'Summary stats'!$B$344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3"/>
          <c:order val="343"/>
          <c:tx>
            <c:strRef>
              <c:f>'Summary stats'!$A$345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stats'!$A$345</c:f>
            </c:strRef>
          </c:xVal>
          <c:yVal>
            <c:numRef>
              <c:f>'Summary stats'!$B$345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4"/>
          <c:order val="344"/>
          <c:tx>
            <c:strRef>
              <c:f>'Summary stats'!$A$346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stats'!$A$346</c:f>
            </c:strRef>
          </c:xVal>
          <c:yVal>
            <c:numRef>
              <c:f>'Summary stats'!$B$346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5"/>
          <c:order val="345"/>
          <c:tx>
            <c:strRef>
              <c:f>'Summary stats'!$A$347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stats'!$A$347</c:f>
            </c:strRef>
          </c:xVal>
          <c:yVal>
            <c:numRef>
              <c:f>'Summary stats'!$B$347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6"/>
          <c:order val="346"/>
          <c:tx>
            <c:strRef>
              <c:f>'Summary stats'!$A$348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stats'!$A$348</c:f>
            </c:strRef>
          </c:xVal>
          <c:yVal>
            <c:numRef>
              <c:f>'Summary stats'!$B$348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7"/>
          <c:order val="347"/>
          <c:tx>
            <c:strRef>
              <c:f>'Summary stats'!$A$349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stats'!$A$349</c:f>
            </c:strRef>
          </c:xVal>
          <c:yVal>
            <c:numRef>
              <c:f>'Summary stats'!$B$349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8"/>
          <c:order val="348"/>
          <c:tx>
            <c:strRef>
              <c:f>'Summary stats'!$A$350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stats'!$A$350</c:f>
            </c:strRef>
          </c:xVal>
          <c:yVal>
            <c:numRef>
              <c:f>'Summary stats'!$B$350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49"/>
          <c:order val="349"/>
          <c:tx>
            <c:strRef>
              <c:f>'Summary stats'!$A$351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stats'!$A$351</c:f>
            </c:strRef>
          </c:xVal>
          <c:yVal>
            <c:numRef>
              <c:f>'Summary stats'!$B$351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0"/>
          <c:order val="350"/>
          <c:tx>
            <c:strRef>
              <c:f>'Summary stats'!$A$352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stats'!$A$352</c:f>
            </c:strRef>
          </c:xVal>
          <c:yVal>
            <c:numRef>
              <c:f>'Summary stats'!$B$352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1"/>
          <c:order val="351"/>
          <c:tx>
            <c:strRef>
              <c:f>'Summary stats'!$A$353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stats'!$A$353</c:f>
            </c:strRef>
          </c:xVal>
          <c:yVal>
            <c:numRef>
              <c:f>'Summary stats'!$B$353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2"/>
          <c:order val="352"/>
          <c:tx>
            <c:strRef>
              <c:f>'Summary stats'!$A$354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stats'!$A$354</c:f>
            </c:strRef>
          </c:xVal>
          <c:yVal>
            <c:numRef>
              <c:f>'Summary stats'!$B$354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3"/>
          <c:order val="353"/>
          <c:tx>
            <c:strRef>
              <c:f>'Summary stats'!$A$355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stats'!$A$355</c:f>
            </c:strRef>
          </c:xVal>
          <c:yVal>
            <c:numRef>
              <c:f>'Summary stats'!$B$355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4"/>
          <c:order val="354"/>
          <c:tx>
            <c:strRef>
              <c:f>'Summary stats'!$A$356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stats'!$A$356</c:f>
            </c:strRef>
          </c:xVal>
          <c:yVal>
            <c:numRef>
              <c:f>'Summary stats'!$B$356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5"/>
          <c:order val="355"/>
          <c:tx>
            <c:strRef>
              <c:f>'Summary stats'!$A$357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stats'!$A$357</c:f>
            </c:strRef>
          </c:xVal>
          <c:yVal>
            <c:numRef>
              <c:f>'Summary stats'!$B$357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6"/>
          <c:order val="356"/>
          <c:tx>
            <c:strRef>
              <c:f>'Summary stats'!$A$358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stats'!$A$358</c:f>
            </c:strRef>
          </c:xVal>
          <c:yVal>
            <c:numRef>
              <c:f>'Summary stats'!$B$358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7"/>
          <c:order val="357"/>
          <c:tx>
            <c:strRef>
              <c:f>'Summary stats'!$A$359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stats'!$A$359</c:f>
            </c:strRef>
          </c:xVal>
          <c:yVal>
            <c:numRef>
              <c:f>'Summary stats'!$B$359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8"/>
          <c:order val="358"/>
          <c:tx>
            <c:strRef>
              <c:f>'Summary stats'!$A$360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stats'!$A$360</c:f>
            </c:strRef>
          </c:xVal>
          <c:yVal>
            <c:numRef>
              <c:f>'Summary stats'!$B$360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59"/>
          <c:order val="359"/>
          <c:tx>
            <c:strRef>
              <c:f>'Summary stats'!$A$361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stats'!$A$361</c:f>
            </c:strRef>
          </c:xVal>
          <c:yVal>
            <c:numRef>
              <c:f>'Summary stats'!$B$361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0"/>
          <c:order val="360"/>
          <c:tx>
            <c:strRef>
              <c:f>'Summary stats'!$A$362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stats'!$A$362</c:f>
            </c:strRef>
          </c:xVal>
          <c:yVal>
            <c:numRef>
              <c:f>'Summary stats'!$B$362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1"/>
          <c:order val="361"/>
          <c:tx>
            <c:strRef>
              <c:f>'Summary stats'!$A$363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stats'!$A$363</c:f>
            </c:strRef>
          </c:xVal>
          <c:yVal>
            <c:numRef>
              <c:f>'Summary stats'!$B$363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2"/>
          <c:order val="362"/>
          <c:tx>
            <c:strRef>
              <c:f>'Summary stats'!$A$364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stats'!$A$364</c:f>
            </c:strRef>
          </c:xVal>
          <c:yVal>
            <c:numRef>
              <c:f>'Summary stats'!$B$364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3"/>
          <c:order val="363"/>
          <c:tx>
            <c:strRef>
              <c:f>'Summary stats'!$A$365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stats'!$A$365</c:f>
            </c:strRef>
          </c:xVal>
          <c:yVal>
            <c:numRef>
              <c:f>'Summary stats'!$B$365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4"/>
          <c:order val="364"/>
          <c:tx>
            <c:strRef>
              <c:f>'Summary stats'!$A$366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stats'!$A$366</c:f>
            </c:strRef>
          </c:xVal>
          <c:yVal>
            <c:numRef>
              <c:f>'Summary stats'!$B$366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5"/>
          <c:order val="365"/>
          <c:tx>
            <c:strRef>
              <c:f>'Summary stats'!$A$367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stats'!$A$367</c:f>
            </c:strRef>
          </c:xVal>
          <c:yVal>
            <c:numRef>
              <c:f>'Summary stats'!$B$367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6"/>
          <c:order val="366"/>
          <c:tx>
            <c:strRef>
              <c:f>'Summary stats'!$A$368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stats'!$A$368</c:f>
            </c:strRef>
          </c:xVal>
          <c:yVal>
            <c:numRef>
              <c:f>'Summary stats'!$B$368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7"/>
          <c:order val="367"/>
          <c:tx>
            <c:strRef>
              <c:f>'Summary stats'!$A$369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stats'!$A$369</c:f>
            </c:strRef>
          </c:xVal>
          <c:yVal>
            <c:numRef>
              <c:f>'Summary stats'!$B$369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8"/>
          <c:order val="368"/>
          <c:tx>
            <c:strRef>
              <c:f>'Summary stats'!$A$370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stats'!$A$370</c:f>
            </c:strRef>
          </c:xVal>
          <c:yVal>
            <c:numRef>
              <c:f>'Summary stats'!$B$370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69"/>
          <c:order val="369"/>
          <c:tx>
            <c:strRef>
              <c:f>'Summary stats'!$A$371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stats'!$A$371</c:f>
            </c:strRef>
          </c:xVal>
          <c:yVal>
            <c:numRef>
              <c:f>'Summary stats'!$B$371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0"/>
          <c:order val="370"/>
          <c:tx>
            <c:strRef>
              <c:f>'Summary stats'!$A$372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stats'!$A$372</c:f>
            </c:strRef>
          </c:xVal>
          <c:yVal>
            <c:numRef>
              <c:f>'Summary stats'!$B$372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1"/>
          <c:order val="371"/>
          <c:tx>
            <c:strRef>
              <c:f>'Summary stats'!$A$373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stats'!$A$373</c:f>
            </c:strRef>
          </c:xVal>
          <c:yVal>
            <c:numRef>
              <c:f>'Summary stats'!$B$373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2"/>
          <c:order val="372"/>
          <c:tx>
            <c:strRef>
              <c:f>'Summary stats'!$A$374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stats'!$A$374</c:f>
            </c:strRef>
          </c:xVal>
          <c:yVal>
            <c:numRef>
              <c:f>'Summary stats'!$B$374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3"/>
          <c:order val="373"/>
          <c:tx>
            <c:strRef>
              <c:f>'Summary stats'!$A$375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stats'!$A$375</c:f>
            </c:strRef>
          </c:xVal>
          <c:yVal>
            <c:numRef>
              <c:f>'Summary stats'!$B$375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4"/>
          <c:order val="374"/>
          <c:tx>
            <c:strRef>
              <c:f>'Summary stats'!$A$376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stats'!$A$376</c:f>
            </c:strRef>
          </c:xVal>
          <c:yVal>
            <c:numRef>
              <c:f>'Summary stats'!$B$376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5"/>
          <c:order val="375"/>
          <c:tx>
            <c:strRef>
              <c:f>'Summary stats'!$A$377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stats'!$A$377</c:f>
            </c:strRef>
          </c:xVal>
          <c:yVal>
            <c:numRef>
              <c:f>'Summary stats'!$B$377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6"/>
          <c:order val="376"/>
          <c:tx>
            <c:strRef>
              <c:f>'Summary stats'!$A$378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stats'!$A$378</c:f>
            </c:strRef>
          </c:xVal>
          <c:yVal>
            <c:numRef>
              <c:f>'Summary stats'!$B$378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7"/>
          <c:order val="377"/>
          <c:tx>
            <c:strRef>
              <c:f>'Summary stats'!$A$379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stats'!$A$379</c:f>
            </c:strRef>
          </c:xVal>
          <c:yVal>
            <c:numRef>
              <c:f>'Summary stats'!$B$379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8"/>
          <c:order val="378"/>
          <c:tx>
            <c:strRef>
              <c:f>'Summary stats'!$A$380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stats'!$A$380</c:f>
            </c:strRef>
          </c:xVal>
          <c:yVal>
            <c:numRef>
              <c:f>'Summary stats'!$B$380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79"/>
          <c:order val="379"/>
          <c:tx>
            <c:strRef>
              <c:f>'Summary stats'!$A$381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stats'!$A$381</c:f>
            </c:strRef>
          </c:xVal>
          <c:yVal>
            <c:numRef>
              <c:f>'Summary stats'!$B$381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0"/>
          <c:order val="380"/>
          <c:tx>
            <c:strRef>
              <c:f>'Summary stats'!$A$382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stats'!$A$382</c:f>
            </c:strRef>
          </c:xVal>
          <c:yVal>
            <c:numRef>
              <c:f>'Summary stats'!$B$382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1"/>
          <c:order val="381"/>
          <c:tx>
            <c:strRef>
              <c:f>'Summary stats'!$A$383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stats'!$A$383</c:f>
            </c:strRef>
          </c:xVal>
          <c:yVal>
            <c:numRef>
              <c:f>'Summary stats'!$B$383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2"/>
          <c:order val="382"/>
          <c:tx>
            <c:strRef>
              <c:f>'Summary stats'!$A$384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stats'!$A$384</c:f>
            </c:strRef>
          </c:xVal>
          <c:yVal>
            <c:numRef>
              <c:f>'Summary stats'!$B$384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3"/>
          <c:order val="383"/>
          <c:tx>
            <c:strRef>
              <c:f>'Summary stats'!$A$385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stats'!$A$385</c:f>
            </c:strRef>
          </c:xVal>
          <c:yVal>
            <c:numRef>
              <c:f>'Summary stats'!$B$385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4"/>
          <c:order val="384"/>
          <c:tx>
            <c:strRef>
              <c:f>'Summary stats'!$A$386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stats'!$A$386</c:f>
            </c:strRef>
          </c:xVal>
          <c:yVal>
            <c:numRef>
              <c:f>'Summary stats'!$B$386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5"/>
          <c:order val="385"/>
          <c:tx>
            <c:strRef>
              <c:f>'Summary stats'!$A$387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stats'!$A$387</c:f>
            </c:strRef>
          </c:xVal>
          <c:yVal>
            <c:numRef>
              <c:f>'Summary stats'!$B$387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6"/>
          <c:order val="386"/>
          <c:tx>
            <c:strRef>
              <c:f>'Summary stats'!$A$388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stats'!$A$388</c:f>
            </c:strRef>
          </c:xVal>
          <c:yVal>
            <c:numRef>
              <c:f>'Summary stats'!$B$388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7"/>
          <c:order val="387"/>
          <c:tx>
            <c:strRef>
              <c:f>'Summary stats'!$A$389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stats'!$A$389</c:f>
            </c:strRef>
          </c:xVal>
          <c:yVal>
            <c:numRef>
              <c:f>'Summary stats'!$B$389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8"/>
          <c:order val="388"/>
          <c:tx>
            <c:strRef>
              <c:f>'Summary stats'!$A$390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stats'!$A$390</c:f>
            </c:strRef>
          </c:xVal>
          <c:yVal>
            <c:numRef>
              <c:f>'Summary stats'!$B$390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89"/>
          <c:order val="389"/>
          <c:tx>
            <c:strRef>
              <c:f>'Summary stats'!$A$391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stats'!$A$391</c:f>
            </c:strRef>
          </c:xVal>
          <c:yVal>
            <c:numRef>
              <c:f>'Summary stats'!$B$391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0"/>
          <c:order val="390"/>
          <c:tx>
            <c:strRef>
              <c:f>'Summary stats'!$A$392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stats'!$A$392</c:f>
            </c:strRef>
          </c:xVal>
          <c:yVal>
            <c:numRef>
              <c:f>'Summary stats'!$B$392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1"/>
          <c:order val="391"/>
          <c:tx>
            <c:strRef>
              <c:f>'Summary stats'!$A$393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stats'!$A$393</c:f>
            </c:strRef>
          </c:xVal>
          <c:yVal>
            <c:numRef>
              <c:f>'Summary stats'!$B$393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2"/>
          <c:order val="392"/>
          <c:tx>
            <c:strRef>
              <c:f>'Summary stats'!$A$394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stats'!$A$394</c:f>
            </c:strRef>
          </c:xVal>
          <c:yVal>
            <c:numRef>
              <c:f>'Summary stats'!$B$394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3"/>
          <c:order val="393"/>
          <c:tx>
            <c:strRef>
              <c:f>'Summary stats'!$A$395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stats'!$A$395</c:f>
            </c:strRef>
          </c:xVal>
          <c:yVal>
            <c:numRef>
              <c:f>'Summary stats'!$B$395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4"/>
          <c:order val="394"/>
          <c:tx>
            <c:strRef>
              <c:f>'Summary stats'!$A$396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stats'!$A$396</c:f>
            </c:strRef>
          </c:xVal>
          <c:yVal>
            <c:numRef>
              <c:f>'Summary stats'!$B$396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5"/>
          <c:order val="395"/>
          <c:tx>
            <c:strRef>
              <c:f>'Summary stats'!$A$397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stats'!$A$397</c:f>
            </c:strRef>
          </c:xVal>
          <c:yVal>
            <c:numRef>
              <c:f>'Summary stats'!$B$397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6"/>
          <c:order val="396"/>
          <c:tx>
            <c:strRef>
              <c:f>'Summary stats'!$A$398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stats'!$A$398</c:f>
            </c:strRef>
          </c:xVal>
          <c:yVal>
            <c:numRef>
              <c:f>'Summary stats'!$B$398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7"/>
          <c:order val="397"/>
          <c:tx>
            <c:strRef>
              <c:f>'Summary stats'!$A$399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stats'!$A$399</c:f>
            </c:strRef>
          </c:xVal>
          <c:yVal>
            <c:numRef>
              <c:f>'Summary stats'!$B$399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8"/>
          <c:order val="398"/>
          <c:tx>
            <c:strRef>
              <c:f>'Summary stats'!$A$400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stats'!$A$400</c:f>
            </c:strRef>
          </c:xVal>
          <c:yVal>
            <c:numRef>
              <c:f>'Summary stats'!$B$400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99"/>
          <c:order val="399"/>
          <c:tx>
            <c:strRef>
              <c:f>'Summary stats'!$A$401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stats'!$A$401</c:f>
            </c:strRef>
          </c:xVal>
          <c:yVal>
            <c:numRef>
              <c:f>'Summary stats'!$B$401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0"/>
          <c:order val="400"/>
          <c:tx>
            <c:strRef>
              <c:f>'Summary stats'!$A$402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stats'!$A$402</c:f>
            </c:strRef>
          </c:xVal>
          <c:yVal>
            <c:numRef>
              <c:f>'Summary stats'!$B$402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1"/>
          <c:order val="401"/>
          <c:tx>
            <c:strRef>
              <c:f>'Summary stats'!$A$403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stats'!$A$403</c:f>
            </c:strRef>
          </c:xVal>
          <c:yVal>
            <c:numRef>
              <c:f>'Summary stats'!$B$403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2"/>
          <c:order val="402"/>
          <c:tx>
            <c:strRef>
              <c:f>'Summary stats'!$A$404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stats'!$A$404</c:f>
            </c:strRef>
          </c:xVal>
          <c:yVal>
            <c:numRef>
              <c:f>'Summary stats'!$B$404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3"/>
          <c:order val="403"/>
          <c:tx>
            <c:strRef>
              <c:f>'Summary stats'!$A$405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stats'!$A$405</c:f>
            </c:strRef>
          </c:xVal>
          <c:yVal>
            <c:numRef>
              <c:f>'Summary stats'!$B$405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4"/>
          <c:order val="404"/>
          <c:tx>
            <c:strRef>
              <c:f>'Summary stats'!$A$406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stats'!$A$406</c:f>
            </c:strRef>
          </c:xVal>
          <c:yVal>
            <c:numRef>
              <c:f>'Summary stats'!$B$406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5"/>
          <c:order val="405"/>
          <c:tx>
            <c:strRef>
              <c:f>'Summary stats'!$A$407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stats'!$A$407</c:f>
            </c:strRef>
          </c:xVal>
          <c:yVal>
            <c:numRef>
              <c:f>'Summary stats'!$B$407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6"/>
          <c:order val="406"/>
          <c:tx>
            <c:strRef>
              <c:f>'Summary stats'!$A$408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stats'!$A$408</c:f>
            </c:strRef>
          </c:xVal>
          <c:yVal>
            <c:numRef>
              <c:f>'Summary stats'!$B$408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7"/>
          <c:order val="407"/>
          <c:tx>
            <c:strRef>
              <c:f>'Summary stats'!$A$409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stats'!$A$409</c:f>
            </c:strRef>
          </c:xVal>
          <c:yVal>
            <c:numRef>
              <c:f>'Summary stats'!$B$409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8"/>
          <c:order val="408"/>
          <c:tx>
            <c:strRef>
              <c:f>'Summary stats'!$A$410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stats'!$A$410</c:f>
            </c:strRef>
          </c:xVal>
          <c:yVal>
            <c:numRef>
              <c:f>'Summary stats'!$B$410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09"/>
          <c:order val="409"/>
          <c:tx>
            <c:strRef>
              <c:f>'Summary stats'!$A$411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stats'!$A$411</c:f>
            </c:strRef>
          </c:xVal>
          <c:yVal>
            <c:numRef>
              <c:f>'Summary stats'!$B$411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0"/>
          <c:order val="410"/>
          <c:tx>
            <c:strRef>
              <c:f>'Summary stats'!$A$412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stats'!$A$412</c:f>
            </c:strRef>
          </c:xVal>
          <c:yVal>
            <c:numRef>
              <c:f>'Summary stats'!$B$412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1"/>
          <c:order val="411"/>
          <c:tx>
            <c:strRef>
              <c:f>'Summary stats'!$A$413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stats'!$A$413</c:f>
            </c:strRef>
          </c:xVal>
          <c:yVal>
            <c:numRef>
              <c:f>'Summary stats'!$B$413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2"/>
          <c:order val="412"/>
          <c:tx>
            <c:strRef>
              <c:f>'Summary stats'!$A$414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stats'!$A$414</c:f>
            </c:strRef>
          </c:xVal>
          <c:yVal>
            <c:numRef>
              <c:f>'Summary stats'!$B$414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3"/>
          <c:order val="413"/>
          <c:tx>
            <c:strRef>
              <c:f>'Summary stats'!$A$415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stats'!$A$415</c:f>
            </c:strRef>
          </c:xVal>
          <c:yVal>
            <c:numRef>
              <c:f>'Summary stats'!$B$415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4"/>
          <c:order val="414"/>
          <c:tx>
            <c:strRef>
              <c:f>'Summary stats'!$A$416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stats'!$A$416</c:f>
            </c:strRef>
          </c:xVal>
          <c:yVal>
            <c:numRef>
              <c:f>'Summary stats'!$B$416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5"/>
          <c:order val="415"/>
          <c:tx>
            <c:strRef>
              <c:f>'Summary stats'!$A$417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stats'!$A$417</c:f>
            </c:strRef>
          </c:xVal>
          <c:yVal>
            <c:numRef>
              <c:f>'Summary stats'!$B$417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6"/>
          <c:order val="416"/>
          <c:tx>
            <c:strRef>
              <c:f>'Summary stats'!$A$418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stats'!$A$418</c:f>
            </c:strRef>
          </c:xVal>
          <c:yVal>
            <c:numRef>
              <c:f>'Summary stats'!$B$418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7"/>
          <c:order val="417"/>
          <c:tx>
            <c:strRef>
              <c:f>'Summary stats'!$A$419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stats'!$A$419</c:f>
            </c:strRef>
          </c:xVal>
          <c:yVal>
            <c:numRef>
              <c:f>'Summary stats'!$B$419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8"/>
          <c:order val="418"/>
          <c:tx>
            <c:strRef>
              <c:f>'Summary stats'!$A$420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stats'!$A$420</c:f>
            </c:strRef>
          </c:xVal>
          <c:yVal>
            <c:numRef>
              <c:f>'Summary stats'!$B$420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19"/>
          <c:order val="419"/>
          <c:tx>
            <c:strRef>
              <c:f>'Summary stats'!$A$421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stats'!$A$421</c:f>
            </c:strRef>
          </c:xVal>
          <c:yVal>
            <c:numRef>
              <c:f>'Summary stats'!$B$421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0"/>
          <c:order val="420"/>
          <c:tx>
            <c:strRef>
              <c:f>'Summary stats'!$A$422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stats'!$A$422</c:f>
            </c:strRef>
          </c:xVal>
          <c:yVal>
            <c:numRef>
              <c:f>'Summary stats'!$B$422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1"/>
          <c:order val="421"/>
          <c:tx>
            <c:strRef>
              <c:f>'Summary stats'!$A$423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stats'!$A$423</c:f>
            </c:strRef>
          </c:xVal>
          <c:yVal>
            <c:numRef>
              <c:f>'Summary stats'!$B$423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2"/>
          <c:order val="422"/>
          <c:tx>
            <c:strRef>
              <c:f>'Summary stats'!$A$424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stats'!$A$424</c:f>
            </c:strRef>
          </c:xVal>
          <c:yVal>
            <c:numRef>
              <c:f>'Summary stats'!$B$424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3"/>
          <c:order val="423"/>
          <c:tx>
            <c:strRef>
              <c:f>'Summary stats'!$A$425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stats'!$A$425</c:f>
            </c:strRef>
          </c:xVal>
          <c:yVal>
            <c:numRef>
              <c:f>'Summary stats'!$B$425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4"/>
          <c:order val="424"/>
          <c:tx>
            <c:strRef>
              <c:f>'Summary stats'!$A$426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stats'!$A$426</c:f>
            </c:strRef>
          </c:xVal>
          <c:yVal>
            <c:numRef>
              <c:f>'Summary stats'!$B$426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5"/>
          <c:order val="425"/>
          <c:tx>
            <c:strRef>
              <c:f>'Summary stats'!$A$427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stats'!$A$427</c:f>
            </c:strRef>
          </c:xVal>
          <c:yVal>
            <c:numRef>
              <c:f>'Summary stats'!$B$427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6"/>
          <c:order val="426"/>
          <c:tx>
            <c:strRef>
              <c:f>'Summary stats'!$A$428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stats'!$A$428</c:f>
            </c:strRef>
          </c:xVal>
          <c:yVal>
            <c:numRef>
              <c:f>'Summary stats'!$B$428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7"/>
          <c:order val="427"/>
          <c:tx>
            <c:strRef>
              <c:f>'Summary stats'!$A$429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stats'!$A$429</c:f>
            </c:strRef>
          </c:xVal>
          <c:yVal>
            <c:numRef>
              <c:f>'Summary stats'!$B$429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8"/>
          <c:order val="428"/>
          <c:tx>
            <c:strRef>
              <c:f>'Summary stats'!$A$430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stats'!$A$430</c:f>
            </c:strRef>
          </c:xVal>
          <c:yVal>
            <c:numRef>
              <c:f>'Summary stats'!$B$430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29"/>
          <c:order val="429"/>
          <c:tx>
            <c:strRef>
              <c:f>'Summary stats'!$A$431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stats'!$A$431</c:f>
            </c:strRef>
          </c:xVal>
          <c:yVal>
            <c:numRef>
              <c:f>'Summary stats'!$B$431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0"/>
          <c:order val="430"/>
          <c:tx>
            <c:strRef>
              <c:f>'Summary stats'!$A$432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stats'!$A$432</c:f>
            </c:strRef>
          </c:xVal>
          <c:yVal>
            <c:numRef>
              <c:f>'Summary stats'!$B$432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1"/>
          <c:order val="431"/>
          <c:tx>
            <c:strRef>
              <c:f>'Summary stats'!$A$433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stats'!$A$433</c:f>
            </c:strRef>
          </c:xVal>
          <c:yVal>
            <c:numRef>
              <c:f>'Summary stats'!$B$433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2"/>
          <c:order val="432"/>
          <c:tx>
            <c:strRef>
              <c:f>'Summary stats'!$A$434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stats'!$A$434</c:f>
            </c:strRef>
          </c:xVal>
          <c:yVal>
            <c:numRef>
              <c:f>'Summary stats'!$B$434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3"/>
          <c:order val="433"/>
          <c:tx>
            <c:strRef>
              <c:f>'Summary stats'!$A$435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stats'!$A$435</c:f>
            </c:strRef>
          </c:xVal>
          <c:yVal>
            <c:numRef>
              <c:f>'Summary stats'!$B$435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4"/>
          <c:order val="434"/>
          <c:tx>
            <c:strRef>
              <c:f>'Summary stats'!$A$436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stats'!$A$436</c:f>
            </c:strRef>
          </c:xVal>
          <c:yVal>
            <c:numRef>
              <c:f>'Summary stats'!$B$436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5"/>
          <c:order val="435"/>
          <c:tx>
            <c:strRef>
              <c:f>'Summary stats'!$A$437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stats'!$A$437</c:f>
            </c:strRef>
          </c:xVal>
          <c:yVal>
            <c:numRef>
              <c:f>'Summary stats'!$B$437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6"/>
          <c:order val="436"/>
          <c:tx>
            <c:strRef>
              <c:f>'Summary stats'!$A$438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stats'!$A$438</c:f>
            </c:strRef>
          </c:xVal>
          <c:yVal>
            <c:numRef>
              <c:f>'Summary stats'!$B$438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7"/>
          <c:order val="437"/>
          <c:tx>
            <c:strRef>
              <c:f>'Summary stats'!$A$439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stats'!$A$439</c:f>
            </c:strRef>
          </c:xVal>
          <c:yVal>
            <c:numRef>
              <c:f>'Summary stats'!$B$439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8"/>
          <c:order val="438"/>
          <c:tx>
            <c:strRef>
              <c:f>'Summary stats'!$A$440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stats'!$A$440</c:f>
            </c:strRef>
          </c:xVal>
          <c:yVal>
            <c:numRef>
              <c:f>'Summary stats'!$B$440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39"/>
          <c:order val="439"/>
          <c:tx>
            <c:strRef>
              <c:f>'Summary stats'!$A$441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stats'!$A$441</c:f>
            </c:strRef>
          </c:xVal>
          <c:yVal>
            <c:numRef>
              <c:f>'Summary stats'!$B$441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0"/>
          <c:order val="440"/>
          <c:tx>
            <c:strRef>
              <c:f>'Summary stats'!$A$442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stats'!$A$442</c:f>
            </c:strRef>
          </c:xVal>
          <c:yVal>
            <c:numRef>
              <c:f>'Summary stats'!$B$442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1"/>
          <c:order val="441"/>
          <c:tx>
            <c:strRef>
              <c:f>'Summary stats'!$A$443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stats'!$A$443</c:f>
            </c:strRef>
          </c:xVal>
          <c:yVal>
            <c:numRef>
              <c:f>'Summary stats'!$B$443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2"/>
          <c:order val="442"/>
          <c:tx>
            <c:strRef>
              <c:f>'Summary stats'!$A$444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stats'!$A$444</c:f>
            </c:strRef>
          </c:xVal>
          <c:yVal>
            <c:numRef>
              <c:f>'Summary stats'!$B$444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3"/>
          <c:order val="443"/>
          <c:tx>
            <c:strRef>
              <c:f>'Summary stats'!$A$445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stats'!$A$445</c:f>
            </c:strRef>
          </c:xVal>
          <c:yVal>
            <c:numRef>
              <c:f>'Summary stats'!$B$445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4"/>
          <c:order val="444"/>
          <c:tx>
            <c:strRef>
              <c:f>'Summary stats'!$A$446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stats'!$A$446</c:f>
            </c:strRef>
          </c:xVal>
          <c:yVal>
            <c:numRef>
              <c:f>'Summary stats'!$B$446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5"/>
          <c:order val="445"/>
          <c:tx>
            <c:strRef>
              <c:f>'Summary stats'!$A$447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stats'!$A$447</c:f>
            </c:strRef>
          </c:xVal>
          <c:yVal>
            <c:numRef>
              <c:f>'Summary stats'!$B$447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6"/>
          <c:order val="446"/>
          <c:tx>
            <c:strRef>
              <c:f>'Summary stats'!$A$448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stats'!$A$448</c:f>
            </c:strRef>
          </c:xVal>
          <c:yVal>
            <c:numRef>
              <c:f>'Summary stats'!$B$448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7"/>
          <c:order val="447"/>
          <c:tx>
            <c:strRef>
              <c:f>'Summary stats'!$A$449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stats'!$A$449</c:f>
            </c:strRef>
          </c:xVal>
          <c:yVal>
            <c:numRef>
              <c:f>'Summary stats'!$B$449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8"/>
          <c:order val="448"/>
          <c:tx>
            <c:strRef>
              <c:f>'Summary stats'!$A$450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stats'!$A$450</c:f>
            </c:strRef>
          </c:xVal>
          <c:yVal>
            <c:numRef>
              <c:f>'Summary stats'!$B$450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49"/>
          <c:order val="449"/>
          <c:tx>
            <c:strRef>
              <c:f>'Summary stats'!$A$451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stats'!$A$451</c:f>
            </c:strRef>
          </c:xVal>
          <c:yVal>
            <c:numRef>
              <c:f>'Summary stats'!$B$451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0"/>
          <c:order val="450"/>
          <c:tx>
            <c:strRef>
              <c:f>'Summary stats'!$A$452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stats'!$A$452</c:f>
            </c:strRef>
          </c:xVal>
          <c:yVal>
            <c:numRef>
              <c:f>'Summary stats'!$B$452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1"/>
          <c:order val="451"/>
          <c:tx>
            <c:strRef>
              <c:f>'Summary stats'!$A$453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stats'!$A$453</c:f>
            </c:strRef>
          </c:xVal>
          <c:yVal>
            <c:numRef>
              <c:f>'Summary stats'!$B$453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2"/>
          <c:order val="452"/>
          <c:tx>
            <c:strRef>
              <c:f>'Summary stats'!$A$454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stats'!$A$454</c:f>
            </c:strRef>
          </c:xVal>
          <c:yVal>
            <c:numRef>
              <c:f>'Summary stats'!$B$454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3"/>
          <c:order val="453"/>
          <c:tx>
            <c:strRef>
              <c:f>'Summary stats'!$A$455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stats'!$A$455</c:f>
            </c:strRef>
          </c:xVal>
          <c:yVal>
            <c:numRef>
              <c:f>'Summary stats'!$B$455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4"/>
          <c:order val="454"/>
          <c:tx>
            <c:strRef>
              <c:f>'Summary stats'!$A$456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stats'!$A$456</c:f>
            </c:strRef>
          </c:xVal>
          <c:yVal>
            <c:numRef>
              <c:f>'Summary stats'!$B$456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5"/>
          <c:order val="455"/>
          <c:tx>
            <c:strRef>
              <c:f>'Summary stats'!$A$457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stats'!$A$457</c:f>
            </c:strRef>
          </c:xVal>
          <c:yVal>
            <c:numRef>
              <c:f>'Summary stats'!$B$457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6"/>
          <c:order val="456"/>
          <c:tx>
            <c:strRef>
              <c:f>'Summary stats'!$A$458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stats'!$A$458</c:f>
            </c:strRef>
          </c:xVal>
          <c:yVal>
            <c:numRef>
              <c:f>'Summary stats'!$B$458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7"/>
          <c:order val="457"/>
          <c:tx>
            <c:strRef>
              <c:f>'Summary stats'!$A$459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stats'!$A$459</c:f>
            </c:strRef>
          </c:xVal>
          <c:yVal>
            <c:numRef>
              <c:f>'Summary stats'!$B$459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8"/>
          <c:order val="458"/>
          <c:tx>
            <c:strRef>
              <c:f>'Summary stats'!$A$460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stats'!$A$460</c:f>
            </c:strRef>
          </c:xVal>
          <c:yVal>
            <c:numRef>
              <c:f>'Summary stats'!$B$460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59"/>
          <c:order val="459"/>
          <c:tx>
            <c:strRef>
              <c:f>'Summary stats'!$A$461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stats'!$A$461</c:f>
            </c:strRef>
          </c:xVal>
          <c:yVal>
            <c:numRef>
              <c:f>'Summary stats'!$B$461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0"/>
          <c:order val="460"/>
          <c:tx>
            <c:strRef>
              <c:f>'Summary stats'!$A$462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stats'!$A$462</c:f>
            </c:strRef>
          </c:xVal>
          <c:yVal>
            <c:numRef>
              <c:f>'Summary stats'!$B$462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1"/>
          <c:order val="461"/>
          <c:tx>
            <c:strRef>
              <c:f>'Summary stats'!$A$463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stats'!$A$463</c:f>
            </c:strRef>
          </c:xVal>
          <c:yVal>
            <c:numRef>
              <c:f>'Summary stats'!$B$463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2"/>
          <c:order val="462"/>
          <c:tx>
            <c:strRef>
              <c:f>'Summary stats'!$A$464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stats'!$A$464</c:f>
            </c:strRef>
          </c:xVal>
          <c:yVal>
            <c:numRef>
              <c:f>'Summary stats'!$B$464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3"/>
          <c:order val="463"/>
          <c:tx>
            <c:strRef>
              <c:f>'Summary stats'!$A$465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stats'!$A$465</c:f>
            </c:strRef>
          </c:xVal>
          <c:yVal>
            <c:numRef>
              <c:f>'Summary stats'!$B$465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4"/>
          <c:order val="464"/>
          <c:tx>
            <c:strRef>
              <c:f>'Summary stats'!$A$466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stats'!$A$466</c:f>
            </c:strRef>
          </c:xVal>
          <c:yVal>
            <c:numRef>
              <c:f>'Summary stats'!$B$466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5"/>
          <c:order val="465"/>
          <c:tx>
            <c:strRef>
              <c:f>'Summary stats'!$A$467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stats'!$A$467</c:f>
            </c:strRef>
          </c:xVal>
          <c:yVal>
            <c:numRef>
              <c:f>'Summary stats'!$B$467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6"/>
          <c:order val="466"/>
          <c:tx>
            <c:strRef>
              <c:f>'Summary stats'!$A$468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stats'!$A$468</c:f>
            </c:strRef>
          </c:xVal>
          <c:yVal>
            <c:numRef>
              <c:f>'Summary stats'!$B$468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7"/>
          <c:order val="467"/>
          <c:tx>
            <c:strRef>
              <c:f>'Summary stats'!$A$469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stats'!$A$469</c:f>
            </c:strRef>
          </c:xVal>
          <c:yVal>
            <c:numRef>
              <c:f>'Summary stats'!$B$469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8"/>
          <c:order val="468"/>
          <c:tx>
            <c:strRef>
              <c:f>'Summary stats'!$A$470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stats'!$A$470</c:f>
            </c:strRef>
          </c:xVal>
          <c:yVal>
            <c:numRef>
              <c:f>'Summary stats'!$B$470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69"/>
          <c:order val="469"/>
          <c:tx>
            <c:strRef>
              <c:f>'Summary stats'!$A$471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stats'!$A$471</c:f>
            </c:strRef>
          </c:xVal>
          <c:yVal>
            <c:numRef>
              <c:f>'Summary stats'!$B$471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0"/>
          <c:order val="470"/>
          <c:tx>
            <c:strRef>
              <c:f>'Summary stats'!$A$472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stats'!$A$472</c:f>
            </c:strRef>
          </c:xVal>
          <c:yVal>
            <c:numRef>
              <c:f>'Summary stats'!$B$472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1"/>
          <c:order val="471"/>
          <c:tx>
            <c:strRef>
              <c:f>'Summary stats'!$A$473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stats'!$A$473</c:f>
            </c:strRef>
          </c:xVal>
          <c:yVal>
            <c:numRef>
              <c:f>'Summary stats'!$B$473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2"/>
          <c:order val="472"/>
          <c:tx>
            <c:strRef>
              <c:f>'Summary stats'!$A$474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stats'!$A$474</c:f>
            </c:strRef>
          </c:xVal>
          <c:yVal>
            <c:numRef>
              <c:f>'Summary stats'!$B$474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3"/>
          <c:order val="473"/>
          <c:tx>
            <c:strRef>
              <c:f>'Summary stats'!$A$475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stats'!$A$475</c:f>
            </c:strRef>
          </c:xVal>
          <c:yVal>
            <c:numRef>
              <c:f>'Summary stats'!$B$475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4"/>
          <c:order val="474"/>
          <c:tx>
            <c:strRef>
              <c:f>'Summary stats'!$A$476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stats'!$A$476</c:f>
            </c:strRef>
          </c:xVal>
          <c:yVal>
            <c:numRef>
              <c:f>'Summary stats'!$B$476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5"/>
          <c:order val="475"/>
          <c:tx>
            <c:strRef>
              <c:f>'Summary stats'!$A$477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stats'!$A$477</c:f>
            </c:strRef>
          </c:xVal>
          <c:yVal>
            <c:numRef>
              <c:f>'Summary stats'!$B$477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6"/>
          <c:order val="476"/>
          <c:tx>
            <c:strRef>
              <c:f>'Summary stats'!$A$478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stats'!$A$478</c:f>
            </c:strRef>
          </c:xVal>
          <c:yVal>
            <c:numRef>
              <c:f>'Summary stats'!$B$478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7"/>
          <c:order val="477"/>
          <c:tx>
            <c:strRef>
              <c:f>'Summary stats'!$A$479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stats'!$A$479</c:f>
            </c:strRef>
          </c:xVal>
          <c:yVal>
            <c:numRef>
              <c:f>'Summary stats'!$B$479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8"/>
          <c:order val="478"/>
          <c:tx>
            <c:strRef>
              <c:f>'Summary stats'!$A$480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stats'!$A$480</c:f>
            </c:strRef>
          </c:xVal>
          <c:yVal>
            <c:numRef>
              <c:f>'Summary stats'!$B$480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79"/>
          <c:order val="479"/>
          <c:tx>
            <c:strRef>
              <c:f>'Summary stats'!$A$481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stats'!$A$481</c:f>
            </c:strRef>
          </c:xVal>
          <c:yVal>
            <c:numRef>
              <c:f>'Summary stats'!$B$481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0"/>
          <c:order val="480"/>
          <c:tx>
            <c:strRef>
              <c:f>'Summary stats'!$A$482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stats'!$A$482</c:f>
            </c:strRef>
          </c:xVal>
          <c:yVal>
            <c:numRef>
              <c:f>'Summary stats'!$B$482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1"/>
          <c:order val="481"/>
          <c:tx>
            <c:strRef>
              <c:f>'Summary stats'!$A$483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stats'!$A$483</c:f>
            </c:strRef>
          </c:xVal>
          <c:yVal>
            <c:numRef>
              <c:f>'Summary stats'!$B$483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2"/>
          <c:order val="482"/>
          <c:tx>
            <c:strRef>
              <c:f>'Summary stats'!$A$484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stats'!$A$484</c:f>
            </c:strRef>
          </c:xVal>
          <c:yVal>
            <c:numRef>
              <c:f>'Summary stats'!$B$484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3"/>
          <c:order val="483"/>
          <c:tx>
            <c:strRef>
              <c:f>'Summary stats'!$A$485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stats'!$A$485</c:f>
            </c:strRef>
          </c:xVal>
          <c:yVal>
            <c:numRef>
              <c:f>'Summary stats'!$B$485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4"/>
          <c:order val="484"/>
          <c:tx>
            <c:strRef>
              <c:f>'Summary stats'!$A$486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stats'!$A$486</c:f>
            </c:strRef>
          </c:xVal>
          <c:yVal>
            <c:numRef>
              <c:f>'Summary stats'!$B$486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5"/>
          <c:order val="485"/>
          <c:tx>
            <c:strRef>
              <c:f>'Summary stats'!$A$487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stats'!$A$487</c:f>
            </c:strRef>
          </c:xVal>
          <c:yVal>
            <c:numRef>
              <c:f>'Summary stats'!$B$487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6"/>
          <c:order val="486"/>
          <c:tx>
            <c:strRef>
              <c:f>'Summary stats'!$A$488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stats'!$A$488</c:f>
            </c:strRef>
          </c:xVal>
          <c:yVal>
            <c:numRef>
              <c:f>'Summary stats'!$B$488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7"/>
          <c:order val="487"/>
          <c:tx>
            <c:strRef>
              <c:f>'Summary stats'!$A$489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stats'!$A$489</c:f>
            </c:strRef>
          </c:xVal>
          <c:yVal>
            <c:numRef>
              <c:f>'Summary stats'!$B$489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8"/>
          <c:order val="488"/>
          <c:tx>
            <c:strRef>
              <c:f>'Summary stats'!$A$490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stats'!$A$490</c:f>
            </c:strRef>
          </c:xVal>
          <c:yVal>
            <c:numRef>
              <c:f>'Summary stats'!$B$490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89"/>
          <c:order val="489"/>
          <c:tx>
            <c:strRef>
              <c:f>'Summary stats'!$A$491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stats'!$A$491</c:f>
            </c:strRef>
          </c:xVal>
          <c:yVal>
            <c:numRef>
              <c:f>'Summary stats'!$B$491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0"/>
          <c:order val="490"/>
          <c:tx>
            <c:strRef>
              <c:f>'Summary stats'!$A$492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stats'!$A$492</c:f>
            </c:strRef>
          </c:xVal>
          <c:yVal>
            <c:numRef>
              <c:f>'Summary stats'!$B$492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1"/>
          <c:order val="491"/>
          <c:tx>
            <c:strRef>
              <c:f>'Summary stats'!$A$493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stats'!$A$493</c:f>
            </c:strRef>
          </c:xVal>
          <c:yVal>
            <c:numRef>
              <c:f>'Summary stats'!$B$493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2"/>
          <c:order val="492"/>
          <c:tx>
            <c:strRef>
              <c:f>'Summary stats'!$A$494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stats'!$A$494</c:f>
            </c:strRef>
          </c:xVal>
          <c:yVal>
            <c:numRef>
              <c:f>'Summary stats'!$B$494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3"/>
          <c:order val="493"/>
          <c:tx>
            <c:strRef>
              <c:f>'Summary stats'!$A$495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stats'!$A$495</c:f>
            </c:strRef>
          </c:xVal>
          <c:yVal>
            <c:numRef>
              <c:f>'Summary stats'!$B$495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4"/>
          <c:order val="494"/>
          <c:tx>
            <c:strRef>
              <c:f>'Summary stats'!$A$496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stats'!$A$496</c:f>
            </c:strRef>
          </c:xVal>
          <c:yVal>
            <c:numRef>
              <c:f>'Summary stats'!$B$496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5"/>
          <c:order val="495"/>
          <c:tx>
            <c:strRef>
              <c:f>'Summary stats'!$A$497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stats'!$A$497</c:f>
            </c:strRef>
          </c:xVal>
          <c:yVal>
            <c:numRef>
              <c:f>'Summary stats'!$B$497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6"/>
          <c:order val="496"/>
          <c:tx>
            <c:strRef>
              <c:f>'Summary stats'!$A$498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stats'!$A$498</c:f>
            </c:strRef>
          </c:xVal>
          <c:yVal>
            <c:numRef>
              <c:f>'Summary stats'!$B$498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7"/>
          <c:order val="497"/>
          <c:tx>
            <c:strRef>
              <c:f>'Summary stats'!$A$499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stats'!$A$499</c:f>
            </c:strRef>
          </c:xVal>
          <c:yVal>
            <c:numRef>
              <c:f>'Summary stats'!$B$499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8"/>
          <c:order val="498"/>
          <c:tx>
            <c:strRef>
              <c:f>'Summary stats'!$A$500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stats'!$A$500</c:f>
            </c:strRef>
          </c:xVal>
          <c:yVal>
            <c:numRef>
              <c:f>'Summary stats'!$B$500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99"/>
          <c:order val="499"/>
          <c:tx>
            <c:strRef>
              <c:f>'Summary stats'!$A$501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stats'!$A$501</c:f>
            </c:strRef>
          </c:xVal>
          <c:yVal>
            <c:numRef>
              <c:f>'Summary stats'!$B$501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0"/>
          <c:order val="500"/>
          <c:tx>
            <c:strRef>
              <c:f>'Summary stats'!$A$502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stats'!$A$502</c:f>
            </c:strRef>
          </c:xVal>
          <c:yVal>
            <c:numRef>
              <c:f>'Summary stats'!$B$502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1"/>
          <c:order val="501"/>
          <c:tx>
            <c:strRef>
              <c:f>'Summary stats'!$A$503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stats'!$A$503</c:f>
            </c:strRef>
          </c:xVal>
          <c:yVal>
            <c:numRef>
              <c:f>'Summary stats'!$B$503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2"/>
          <c:order val="502"/>
          <c:tx>
            <c:strRef>
              <c:f>'Summary stats'!$A$504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stats'!$A$504</c:f>
            </c:strRef>
          </c:xVal>
          <c:yVal>
            <c:numRef>
              <c:f>'Summary stats'!$B$504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3"/>
          <c:order val="503"/>
          <c:tx>
            <c:strRef>
              <c:f>'Summary stats'!$A$505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stats'!$A$505</c:f>
            </c:strRef>
          </c:xVal>
          <c:yVal>
            <c:numRef>
              <c:f>'Summary stats'!$B$505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4"/>
          <c:order val="504"/>
          <c:tx>
            <c:strRef>
              <c:f>'Summary stats'!$A$506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stats'!$A$506</c:f>
            </c:strRef>
          </c:xVal>
          <c:yVal>
            <c:numRef>
              <c:f>'Summary stats'!$B$506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5"/>
          <c:order val="505"/>
          <c:tx>
            <c:strRef>
              <c:f>'Summary stats'!$A$507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stats'!$A$507</c:f>
            </c:strRef>
          </c:xVal>
          <c:yVal>
            <c:numRef>
              <c:f>'Summary stats'!$B$507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6"/>
          <c:order val="506"/>
          <c:tx>
            <c:strRef>
              <c:f>'Summary stats'!$A$508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stats'!$A$508</c:f>
            </c:strRef>
          </c:xVal>
          <c:yVal>
            <c:numRef>
              <c:f>'Summary stats'!$B$508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7"/>
          <c:order val="507"/>
          <c:tx>
            <c:strRef>
              <c:f>'Summary stats'!$A$509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stats'!$A$509</c:f>
            </c:strRef>
          </c:xVal>
          <c:yVal>
            <c:numRef>
              <c:f>'Summary stats'!$B$509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8"/>
          <c:order val="508"/>
          <c:tx>
            <c:strRef>
              <c:f>'Summary stats'!$A$510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stats'!$A$510</c:f>
            </c:strRef>
          </c:xVal>
          <c:yVal>
            <c:numRef>
              <c:f>'Summary stats'!$B$510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09"/>
          <c:order val="509"/>
          <c:tx>
            <c:strRef>
              <c:f>'Summary stats'!$A$511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stats'!$A$511</c:f>
            </c:strRef>
          </c:xVal>
          <c:yVal>
            <c:numRef>
              <c:f>'Summary stats'!$B$511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0"/>
          <c:order val="510"/>
          <c:tx>
            <c:strRef>
              <c:f>'Summary stats'!$A$512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stats'!$A$512</c:f>
            </c:strRef>
          </c:xVal>
          <c:yVal>
            <c:numRef>
              <c:f>'Summary stats'!$B$512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1"/>
          <c:order val="511"/>
          <c:tx>
            <c:strRef>
              <c:f>'Summary stats'!$A$513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stats'!$A$513</c:f>
            </c:strRef>
          </c:xVal>
          <c:yVal>
            <c:numRef>
              <c:f>'Summary stats'!$B$513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2"/>
          <c:order val="512"/>
          <c:tx>
            <c:strRef>
              <c:f>'Summary stats'!$A$514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stats'!$A$514</c:f>
            </c:strRef>
          </c:xVal>
          <c:yVal>
            <c:numRef>
              <c:f>'Summary stats'!$B$514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3"/>
          <c:order val="513"/>
          <c:tx>
            <c:strRef>
              <c:f>'Summary stats'!$A$515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stats'!$A$515</c:f>
            </c:strRef>
          </c:xVal>
          <c:yVal>
            <c:numRef>
              <c:f>'Summary stats'!$B$515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4"/>
          <c:order val="514"/>
          <c:tx>
            <c:strRef>
              <c:f>'Summary stats'!$A$516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stats'!$A$516</c:f>
            </c:strRef>
          </c:xVal>
          <c:yVal>
            <c:numRef>
              <c:f>'Summary stats'!$B$516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5"/>
          <c:order val="515"/>
          <c:tx>
            <c:strRef>
              <c:f>'Summary stats'!$A$517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stats'!$A$517</c:f>
            </c:strRef>
          </c:xVal>
          <c:yVal>
            <c:numRef>
              <c:f>'Summary stats'!$B$517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6"/>
          <c:order val="516"/>
          <c:tx>
            <c:strRef>
              <c:f>'Summary stats'!$A$518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stats'!$A$518</c:f>
            </c:strRef>
          </c:xVal>
          <c:yVal>
            <c:numRef>
              <c:f>'Summary stats'!$B$518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7"/>
          <c:order val="517"/>
          <c:tx>
            <c:strRef>
              <c:f>'Summary stats'!$A$519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stats'!$A$519</c:f>
            </c:strRef>
          </c:xVal>
          <c:yVal>
            <c:numRef>
              <c:f>'Summary stats'!$B$519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8"/>
          <c:order val="518"/>
          <c:tx>
            <c:strRef>
              <c:f>'Summary stats'!$A$520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stats'!$A$520</c:f>
            </c:strRef>
          </c:xVal>
          <c:yVal>
            <c:numRef>
              <c:f>'Summary stats'!$B$520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19"/>
          <c:order val="519"/>
          <c:tx>
            <c:strRef>
              <c:f>'Summary stats'!$A$521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stats'!$A$521</c:f>
            </c:strRef>
          </c:xVal>
          <c:yVal>
            <c:numRef>
              <c:f>'Summary stats'!$B$521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0"/>
          <c:order val="520"/>
          <c:tx>
            <c:strRef>
              <c:f>'Summary stats'!$A$522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stats'!$A$522</c:f>
            </c:strRef>
          </c:xVal>
          <c:yVal>
            <c:numRef>
              <c:f>'Summary stats'!$B$522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1"/>
          <c:order val="521"/>
          <c:tx>
            <c:strRef>
              <c:f>'Summary stats'!$A$523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stats'!$A$523</c:f>
            </c:strRef>
          </c:xVal>
          <c:yVal>
            <c:numRef>
              <c:f>'Summary stats'!$B$523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2"/>
          <c:order val="522"/>
          <c:tx>
            <c:strRef>
              <c:f>'Summary stats'!$A$524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stats'!$A$524</c:f>
            </c:strRef>
          </c:xVal>
          <c:yVal>
            <c:numRef>
              <c:f>'Summary stats'!$B$524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3"/>
          <c:order val="523"/>
          <c:tx>
            <c:strRef>
              <c:f>'Summary stats'!$A$525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stats'!$A$525</c:f>
            </c:strRef>
          </c:xVal>
          <c:yVal>
            <c:numRef>
              <c:f>'Summary stats'!$B$525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4"/>
          <c:order val="524"/>
          <c:tx>
            <c:strRef>
              <c:f>'Summary stats'!$A$526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stats'!$A$526</c:f>
            </c:strRef>
          </c:xVal>
          <c:yVal>
            <c:numRef>
              <c:f>'Summary stats'!$B$526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5"/>
          <c:order val="525"/>
          <c:tx>
            <c:strRef>
              <c:f>'Summary stats'!$A$527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stats'!$A$527</c:f>
            </c:strRef>
          </c:xVal>
          <c:yVal>
            <c:numRef>
              <c:f>'Summary stats'!$B$527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6"/>
          <c:order val="526"/>
          <c:tx>
            <c:strRef>
              <c:f>'Summary stats'!$A$528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stats'!$A$528</c:f>
            </c:strRef>
          </c:xVal>
          <c:yVal>
            <c:numRef>
              <c:f>'Summary stats'!$B$528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7"/>
          <c:order val="527"/>
          <c:tx>
            <c:strRef>
              <c:f>'Summary stats'!$A$529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stats'!$A$529</c:f>
            </c:strRef>
          </c:xVal>
          <c:yVal>
            <c:numRef>
              <c:f>'Summary stats'!$B$529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8"/>
          <c:order val="528"/>
          <c:tx>
            <c:strRef>
              <c:f>'Summary stats'!$A$530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stats'!$A$530</c:f>
            </c:strRef>
          </c:xVal>
          <c:yVal>
            <c:numRef>
              <c:f>'Summary stats'!$B$530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29"/>
          <c:order val="529"/>
          <c:tx>
            <c:strRef>
              <c:f>'Summary stats'!$A$531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stats'!$A$531</c:f>
            </c:strRef>
          </c:xVal>
          <c:yVal>
            <c:numRef>
              <c:f>'Summary stats'!$B$531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0"/>
          <c:order val="530"/>
          <c:tx>
            <c:strRef>
              <c:f>'Summary stats'!$A$532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stats'!$A$532</c:f>
            </c:strRef>
          </c:xVal>
          <c:yVal>
            <c:numRef>
              <c:f>'Summary stats'!$B$532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1"/>
          <c:order val="531"/>
          <c:tx>
            <c:strRef>
              <c:f>'Summary stats'!$A$533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stats'!$A$533</c:f>
            </c:strRef>
          </c:xVal>
          <c:yVal>
            <c:numRef>
              <c:f>'Summary stats'!$B$533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2"/>
          <c:order val="532"/>
          <c:tx>
            <c:strRef>
              <c:f>'Summary stats'!$A$534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stats'!$A$534</c:f>
            </c:strRef>
          </c:xVal>
          <c:yVal>
            <c:numRef>
              <c:f>'Summary stats'!$B$534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3"/>
          <c:order val="533"/>
          <c:tx>
            <c:strRef>
              <c:f>'Summary stats'!$A$535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stats'!$A$535</c:f>
            </c:strRef>
          </c:xVal>
          <c:yVal>
            <c:numRef>
              <c:f>'Summary stats'!$B$535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4"/>
          <c:order val="534"/>
          <c:tx>
            <c:strRef>
              <c:f>'Summary stats'!$A$536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stats'!$A$536</c:f>
            </c:strRef>
          </c:xVal>
          <c:yVal>
            <c:numRef>
              <c:f>'Summary stats'!$B$536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5"/>
          <c:order val="535"/>
          <c:tx>
            <c:strRef>
              <c:f>'Summary stats'!$A$537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stats'!$A$537</c:f>
            </c:strRef>
          </c:xVal>
          <c:yVal>
            <c:numRef>
              <c:f>'Summary stats'!$B$537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6"/>
          <c:order val="536"/>
          <c:tx>
            <c:strRef>
              <c:f>'Summary stats'!$A$538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stats'!$A$538</c:f>
            </c:strRef>
          </c:xVal>
          <c:yVal>
            <c:numRef>
              <c:f>'Summary stats'!$B$538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7"/>
          <c:order val="537"/>
          <c:tx>
            <c:strRef>
              <c:f>'Summary stats'!$A$539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stats'!$A$539</c:f>
            </c:strRef>
          </c:xVal>
          <c:yVal>
            <c:numRef>
              <c:f>'Summary stats'!$B$539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8"/>
          <c:order val="538"/>
          <c:tx>
            <c:strRef>
              <c:f>'Summary stats'!$A$540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stats'!$A$540</c:f>
            </c:strRef>
          </c:xVal>
          <c:yVal>
            <c:numRef>
              <c:f>'Summary stats'!$B$540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39"/>
          <c:order val="539"/>
          <c:tx>
            <c:strRef>
              <c:f>'Summary stats'!$A$541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stats'!$A$541</c:f>
            </c:strRef>
          </c:xVal>
          <c:yVal>
            <c:numRef>
              <c:f>'Summary stats'!$B$541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0"/>
          <c:order val="540"/>
          <c:tx>
            <c:strRef>
              <c:f>'Summary stats'!$A$542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stats'!$A$542</c:f>
            </c:strRef>
          </c:xVal>
          <c:yVal>
            <c:numRef>
              <c:f>'Summary stats'!$B$542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1"/>
          <c:order val="541"/>
          <c:tx>
            <c:strRef>
              <c:f>'Summary stats'!$A$543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stats'!$A$543</c:f>
            </c:strRef>
          </c:xVal>
          <c:yVal>
            <c:numRef>
              <c:f>'Summary stats'!$B$543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2"/>
          <c:order val="542"/>
          <c:tx>
            <c:strRef>
              <c:f>'Summary stats'!$A$544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stats'!$A$544</c:f>
            </c:strRef>
          </c:xVal>
          <c:yVal>
            <c:numRef>
              <c:f>'Summary stats'!$B$544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3"/>
          <c:order val="543"/>
          <c:tx>
            <c:strRef>
              <c:f>'Summary stats'!$A$545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stats'!$A$545</c:f>
            </c:strRef>
          </c:xVal>
          <c:yVal>
            <c:numRef>
              <c:f>'Summary stats'!$B$545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4"/>
          <c:order val="544"/>
          <c:tx>
            <c:strRef>
              <c:f>'Summary stats'!$A$546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stats'!$A$546</c:f>
            </c:strRef>
          </c:xVal>
          <c:yVal>
            <c:numRef>
              <c:f>'Summary stats'!$B$546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5"/>
          <c:order val="545"/>
          <c:tx>
            <c:strRef>
              <c:f>'Summary stats'!$A$547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stats'!$A$547</c:f>
            </c:strRef>
          </c:xVal>
          <c:yVal>
            <c:numRef>
              <c:f>'Summary stats'!$B$547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6"/>
          <c:order val="546"/>
          <c:tx>
            <c:strRef>
              <c:f>'Summary stats'!$A$548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stats'!$A$548</c:f>
            </c:strRef>
          </c:xVal>
          <c:yVal>
            <c:numRef>
              <c:f>'Summary stats'!$B$548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7"/>
          <c:order val="547"/>
          <c:tx>
            <c:strRef>
              <c:f>'Summary stats'!$A$549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stats'!$A$549</c:f>
            </c:strRef>
          </c:xVal>
          <c:yVal>
            <c:numRef>
              <c:f>'Summary stats'!$B$549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8"/>
          <c:order val="548"/>
          <c:tx>
            <c:strRef>
              <c:f>'Summary stats'!$A$550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stats'!$A$550</c:f>
            </c:strRef>
          </c:xVal>
          <c:yVal>
            <c:numRef>
              <c:f>'Summary stats'!$B$550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49"/>
          <c:order val="549"/>
          <c:tx>
            <c:strRef>
              <c:f>'Summary stats'!$A$551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stats'!$A$551</c:f>
            </c:strRef>
          </c:xVal>
          <c:yVal>
            <c:numRef>
              <c:f>'Summary stats'!$B$551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0"/>
          <c:order val="550"/>
          <c:tx>
            <c:strRef>
              <c:f>'Summary stats'!$A$552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stats'!$A$552</c:f>
            </c:strRef>
          </c:xVal>
          <c:yVal>
            <c:numRef>
              <c:f>'Summary stats'!$B$552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1"/>
          <c:order val="551"/>
          <c:tx>
            <c:strRef>
              <c:f>'Summary stats'!$A$553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stats'!$A$553</c:f>
            </c:strRef>
          </c:xVal>
          <c:yVal>
            <c:numRef>
              <c:f>'Summary stats'!$B$553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2"/>
          <c:order val="552"/>
          <c:tx>
            <c:strRef>
              <c:f>'Summary stats'!$A$554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stats'!$A$554</c:f>
            </c:strRef>
          </c:xVal>
          <c:yVal>
            <c:numRef>
              <c:f>'Summary stats'!$B$554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3"/>
          <c:order val="553"/>
          <c:tx>
            <c:strRef>
              <c:f>'Summary stats'!$A$555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stats'!$A$555</c:f>
            </c:strRef>
          </c:xVal>
          <c:yVal>
            <c:numRef>
              <c:f>'Summary stats'!$B$555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4"/>
          <c:order val="554"/>
          <c:tx>
            <c:strRef>
              <c:f>'Summary stats'!$A$556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stats'!$A$556</c:f>
            </c:strRef>
          </c:xVal>
          <c:yVal>
            <c:numRef>
              <c:f>'Summary stats'!$B$556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5"/>
          <c:order val="555"/>
          <c:tx>
            <c:strRef>
              <c:f>'Summary stats'!$A$557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stats'!$A$557</c:f>
            </c:strRef>
          </c:xVal>
          <c:yVal>
            <c:numRef>
              <c:f>'Summary stats'!$B$557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6"/>
          <c:order val="556"/>
          <c:tx>
            <c:strRef>
              <c:f>'Summary stats'!$A$558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stats'!$A$558</c:f>
            </c:strRef>
          </c:xVal>
          <c:yVal>
            <c:numRef>
              <c:f>'Summary stats'!$B$558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7"/>
          <c:order val="557"/>
          <c:tx>
            <c:strRef>
              <c:f>'Summary stats'!$A$559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stats'!$A$559</c:f>
            </c:strRef>
          </c:xVal>
          <c:yVal>
            <c:numRef>
              <c:f>'Summary stats'!$B$559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8"/>
          <c:order val="558"/>
          <c:tx>
            <c:strRef>
              <c:f>'Summary stats'!$A$560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stats'!$A$560</c:f>
            </c:strRef>
          </c:xVal>
          <c:yVal>
            <c:numRef>
              <c:f>'Summary stats'!$B$560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59"/>
          <c:order val="559"/>
          <c:tx>
            <c:strRef>
              <c:f>'Summary stats'!$A$561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stats'!$A$561</c:f>
            </c:strRef>
          </c:xVal>
          <c:yVal>
            <c:numRef>
              <c:f>'Summary stats'!$B$561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0"/>
          <c:order val="560"/>
          <c:tx>
            <c:strRef>
              <c:f>'Summary stats'!$A$562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stats'!$A$562</c:f>
            </c:strRef>
          </c:xVal>
          <c:yVal>
            <c:numRef>
              <c:f>'Summary stats'!$B$562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1"/>
          <c:order val="561"/>
          <c:tx>
            <c:strRef>
              <c:f>'Summary stats'!$A$563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stats'!$A$563</c:f>
            </c:strRef>
          </c:xVal>
          <c:yVal>
            <c:numRef>
              <c:f>'Summary stats'!$B$563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2"/>
          <c:order val="562"/>
          <c:tx>
            <c:strRef>
              <c:f>'Summary stats'!$A$564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stats'!$A$564</c:f>
            </c:strRef>
          </c:xVal>
          <c:yVal>
            <c:numRef>
              <c:f>'Summary stats'!$B$564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3"/>
          <c:order val="563"/>
          <c:tx>
            <c:strRef>
              <c:f>'Summary stats'!$A$565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stats'!$A$565</c:f>
            </c:strRef>
          </c:xVal>
          <c:yVal>
            <c:numRef>
              <c:f>'Summary stats'!$B$565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4"/>
          <c:order val="564"/>
          <c:tx>
            <c:strRef>
              <c:f>'Summary stats'!$A$566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stats'!$A$566</c:f>
            </c:strRef>
          </c:xVal>
          <c:yVal>
            <c:numRef>
              <c:f>'Summary stats'!$B$566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5"/>
          <c:order val="565"/>
          <c:tx>
            <c:strRef>
              <c:f>'Summary stats'!$A$567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stats'!$A$567</c:f>
            </c:strRef>
          </c:xVal>
          <c:yVal>
            <c:numRef>
              <c:f>'Summary stats'!$B$567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6"/>
          <c:order val="566"/>
          <c:tx>
            <c:strRef>
              <c:f>'Summary stats'!$A$568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stats'!$A$568</c:f>
            </c:strRef>
          </c:xVal>
          <c:yVal>
            <c:numRef>
              <c:f>'Summary stats'!$B$568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7"/>
          <c:order val="567"/>
          <c:tx>
            <c:strRef>
              <c:f>'Summary stats'!$A$569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stats'!$A$569</c:f>
            </c:strRef>
          </c:xVal>
          <c:yVal>
            <c:numRef>
              <c:f>'Summary stats'!$B$569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8"/>
          <c:order val="568"/>
          <c:tx>
            <c:strRef>
              <c:f>'Summary stats'!$A$570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stats'!$A$570</c:f>
            </c:strRef>
          </c:xVal>
          <c:yVal>
            <c:numRef>
              <c:f>'Summary stats'!$B$570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69"/>
          <c:order val="569"/>
          <c:tx>
            <c:strRef>
              <c:f>'Summary stats'!$A$571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stats'!$A$571</c:f>
            </c:strRef>
          </c:xVal>
          <c:yVal>
            <c:numRef>
              <c:f>'Summary stats'!$B$571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0"/>
          <c:order val="570"/>
          <c:tx>
            <c:strRef>
              <c:f>'Summary stats'!$A$572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stats'!$A$572</c:f>
            </c:strRef>
          </c:xVal>
          <c:yVal>
            <c:numRef>
              <c:f>'Summary stats'!$B$572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1"/>
          <c:order val="571"/>
          <c:tx>
            <c:strRef>
              <c:f>'Summary stats'!$A$573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stats'!$A$573</c:f>
            </c:strRef>
          </c:xVal>
          <c:yVal>
            <c:numRef>
              <c:f>'Summary stats'!$B$573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2"/>
          <c:order val="572"/>
          <c:tx>
            <c:strRef>
              <c:f>'Summary stats'!$A$574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stats'!$A$574</c:f>
            </c:strRef>
          </c:xVal>
          <c:yVal>
            <c:numRef>
              <c:f>'Summary stats'!$B$574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3"/>
          <c:order val="573"/>
          <c:tx>
            <c:strRef>
              <c:f>'Summary stats'!$A$575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stats'!$A$575</c:f>
            </c:strRef>
          </c:xVal>
          <c:yVal>
            <c:numRef>
              <c:f>'Summary stats'!$B$575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4"/>
          <c:order val="574"/>
          <c:tx>
            <c:strRef>
              <c:f>'Summary stats'!$A$576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stats'!$A$576</c:f>
            </c:strRef>
          </c:xVal>
          <c:yVal>
            <c:numRef>
              <c:f>'Summary stats'!$B$576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5"/>
          <c:order val="575"/>
          <c:tx>
            <c:strRef>
              <c:f>'Summary stats'!$A$577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stats'!$A$577</c:f>
            </c:strRef>
          </c:xVal>
          <c:yVal>
            <c:numRef>
              <c:f>'Summary stats'!$B$577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6"/>
          <c:order val="576"/>
          <c:tx>
            <c:strRef>
              <c:f>'Summary stats'!$A$578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stats'!$A$578</c:f>
            </c:strRef>
          </c:xVal>
          <c:yVal>
            <c:numRef>
              <c:f>'Summary stats'!$B$578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7"/>
          <c:order val="577"/>
          <c:tx>
            <c:strRef>
              <c:f>'Summary stats'!$A$579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stats'!$A$579</c:f>
            </c:strRef>
          </c:xVal>
          <c:yVal>
            <c:numRef>
              <c:f>'Summary stats'!$B$579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8"/>
          <c:order val="578"/>
          <c:tx>
            <c:strRef>
              <c:f>'Summary stats'!$A$580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stats'!$A$580</c:f>
            </c:strRef>
          </c:xVal>
          <c:yVal>
            <c:numRef>
              <c:f>'Summary stats'!$B$580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79"/>
          <c:order val="579"/>
          <c:tx>
            <c:strRef>
              <c:f>'Summary stats'!$A$581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stats'!$A$581</c:f>
            </c:strRef>
          </c:xVal>
          <c:yVal>
            <c:numRef>
              <c:f>'Summary stats'!$B$581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0"/>
          <c:order val="580"/>
          <c:tx>
            <c:strRef>
              <c:f>'Summary stats'!$A$582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stats'!$A$582</c:f>
            </c:strRef>
          </c:xVal>
          <c:yVal>
            <c:numRef>
              <c:f>'Summary stats'!$B$582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1"/>
          <c:order val="581"/>
          <c:tx>
            <c:strRef>
              <c:f>'Summary stats'!$A$583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stats'!$A$583</c:f>
            </c:strRef>
          </c:xVal>
          <c:yVal>
            <c:numRef>
              <c:f>'Summary stats'!$B$583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2"/>
          <c:order val="582"/>
          <c:tx>
            <c:strRef>
              <c:f>'Summary stats'!$A$584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stats'!$A$584</c:f>
            </c:strRef>
          </c:xVal>
          <c:yVal>
            <c:numRef>
              <c:f>'Summary stats'!$B$584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3"/>
          <c:order val="583"/>
          <c:tx>
            <c:strRef>
              <c:f>'Summary stats'!$A$585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stats'!$A$585</c:f>
            </c:strRef>
          </c:xVal>
          <c:yVal>
            <c:numRef>
              <c:f>'Summary stats'!$B$585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4"/>
          <c:order val="584"/>
          <c:tx>
            <c:strRef>
              <c:f>'Summary stats'!$A$586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stats'!$A$586</c:f>
            </c:strRef>
          </c:xVal>
          <c:yVal>
            <c:numRef>
              <c:f>'Summary stats'!$B$586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5"/>
          <c:order val="585"/>
          <c:tx>
            <c:strRef>
              <c:f>'Summary stats'!$A$587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stats'!$A$587</c:f>
            </c:strRef>
          </c:xVal>
          <c:yVal>
            <c:numRef>
              <c:f>'Summary stats'!$B$587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6"/>
          <c:order val="586"/>
          <c:tx>
            <c:strRef>
              <c:f>'Summary stats'!$A$588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stats'!$A$588</c:f>
            </c:strRef>
          </c:xVal>
          <c:yVal>
            <c:numRef>
              <c:f>'Summary stats'!$B$588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7"/>
          <c:order val="587"/>
          <c:tx>
            <c:strRef>
              <c:f>'Summary stats'!$A$589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stats'!$A$589</c:f>
            </c:strRef>
          </c:xVal>
          <c:yVal>
            <c:numRef>
              <c:f>'Summary stats'!$B$589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8"/>
          <c:order val="588"/>
          <c:tx>
            <c:strRef>
              <c:f>'Summary stats'!$A$590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stats'!$A$590</c:f>
            </c:strRef>
          </c:xVal>
          <c:yVal>
            <c:numRef>
              <c:f>'Summary stats'!$B$590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89"/>
          <c:order val="589"/>
          <c:tx>
            <c:strRef>
              <c:f>'Summary stats'!$A$591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stats'!$A$591</c:f>
            </c:strRef>
          </c:xVal>
          <c:yVal>
            <c:numRef>
              <c:f>'Summary stats'!$B$591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0"/>
          <c:order val="590"/>
          <c:tx>
            <c:strRef>
              <c:f>'Summary stats'!$A$592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stats'!$A$592</c:f>
            </c:strRef>
          </c:xVal>
          <c:yVal>
            <c:numRef>
              <c:f>'Summary stats'!$B$592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1"/>
          <c:order val="591"/>
          <c:tx>
            <c:strRef>
              <c:f>'Summary stats'!$A$593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stats'!$A$593</c:f>
            </c:strRef>
          </c:xVal>
          <c:yVal>
            <c:numRef>
              <c:f>'Summary stats'!$B$593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2"/>
          <c:order val="592"/>
          <c:tx>
            <c:strRef>
              <c:f>'Summary stats'!$A$594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stats'!$A$594</c:f>
            </c:strRef>
          </c:xVal>
          <c:yVal>
            <c:numRef>
              <c:f>'Summary stats'!$B$594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3"/>
          <c:order val="593"/>
          <c:tx>
            <c:strRef>
              <c:f>'Summary stats'!$A$595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stats'!$A$595</c:f>
            </c:strRef>
          </c:xVal>
          <c:yVal>
            <c:numRef>
              <c:f>'Summary stats'!$B$595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4"/>
          <c:order val="594"/>
          <c:tx>
            <c:strRef>
              <c:f>'Summary stats'!$A$596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stats'!$A$596</c:f>
            </c:strRef>
          </c:xVal>
          <c:yVal>
            <c:numRef>
              <c:f>'Summary stats'!$B$596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5"/>
          <c:order val="595"/>
          <c:tx>
            <c:strRef>
              <c:f>'Summary stats'!$A$597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stats'!$A$597</c:f>
            </c:strRef>
          </c:xVal>
          <c:yVal>
            <c:numRef>
              <c:f>'Summary stats'!$B$597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6"/>
          <c:order val="596"/>
          <c:tx>
            <c:strRef>
              <c:f>'Summary stats'!$A$598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stats'!$A$598</c:f>
            </c:strRef>
          </c:xVal>
          <c:yVal>
            <c:numRef>
              <c:f>'Summary stats'!$B$598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7"/>
          <c:order val="597"/>
          <c:tx>
            <c:strRef>
              <c:f>'Summary stats'!$A$599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stats'!$A$599</c:f>
            </c:strRef>
          </c:xVal>
          <c:yVal>
            <c:numRef>
              <c:f>'Summary stats'!$B$599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8"/>
          <c:order val="598"/>
          <c:tx>
            <c:strRef>
              <c:f>'Summary stats'!$A$600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stats'!$A$600</c:f>
            </c:strRef>
          </c:xVal>
          <c:yVal>
            <c:numRef>
              <c:f>'Summary stats'!$B$600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599"/>
          <c:order val="599"/>
          <c:tx>
            <c:strRef>
              <c:f>'Summary stats'!$A$601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stats'!$A$601</c:f>
            </c:strRef>
          </c:xVal>
          <c:yVal>
            <c:numRef>
              <c:f>'Summary stats'!$B$601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0"/>
          <c:order val="600"/>
          <c:tx>
            <c:strRef>
              <c:f>'Summary stats'!$A$602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stats'!$A$602</c:f>
            </c:strRef>
          </c:xVal>
          <c:yVal>
            <c:numRef>
              <c:f>'Summary stats'!$B$602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1"/>
          <c:order val="601"/>
          <c:tx>
            <c:strRef>
              <c:f>'Summary stats'!$A$603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stats'!$A$603</c:f>
            </c:strRef>
          </c:xVal>
          <c:yVal>
            <c:numRef>
              <c:f>'Summary stats'!$B$603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2"/>
          <c:order val="602"/>
          <c:tx>
            <c:strRef>
              <c:f>'Summary stats'!$A$604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stats'!$A$604</c:f>
            </c:strRef>
          </c:xVal>
          <c:yVal>
            <c:numRef>
              <c:f>'Summary stats'!$B$604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3"/>
          <c:order val="603"/>
          <c:tx>
            <c:strRef>
              <c:f>'Summary stats'!$A$605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stats'!$A$605</c:f>
            </c:strRef>
          </c:xVal>
          <c:yVal>
            <c:numRef>
              <c:f>'Summary stats'!$B$605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4"/>
          <c:order val="604"/>
          <c:tx>
            <c:strRef>
              <c:f>'Summary stats'!$A$606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stats'!$A$606</c:f>
            </c:strRef>
          </c:xVal>
          <c:yVal>
            <c:numRef>
              <c:f>'Summary stats'!$B$606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5"/>
          <c:order val="605"/>
          <c:tx>
            <c:strRef>
              <c:f>'Summary stats'!$A$607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stats'!$A$607</c:f>
            </c:strRef>
          </c:xVal>
          <c:yVal>
            <c:numRef>
              <c:f>'Summary stats'!$B$607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6"/>
          <c:order val="606"/>
          <c:tx>
            <c:strRef>
              <c:f>'Summary stats'!$A$608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stats'!$A$608</c:f>
            </c:strRef>
          </c:xVal>
          <c:yVal>
            <c:numRef>
              <c:f>'Summary stats'!$B$608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7"/>
          <c:order val="607"/>
          <c:tx>
            <c:strRef>
              <c:f>'Summary stats'!$A$609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stats'!$A$609</c:f>
            </c:strRef>
          </c:xVal>
          <c:yVal>
            <c:numRef>
              <c:f>'Summary stats'!$B$609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8"/>
          <c:order val="608"/>
          <c:tx>
            <c:strRef>
              <c:f>'Summary stats'!$A$610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stats'!$A$610</c:f>
            </c:strRef>
          </c:xVal>
          <c:yVal>
            <c:numRef>
              <c:f>'Summary stats'!$B$610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09"/>
          <c:order val="609"/>
          <c:tx>
            <c:strRef>
              <c:f>'Summary stats'!$A$611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stats'!$A$611</c:f>
            </c:strRef>
          </c:xVal>
          <c:yVal>
            <c:numRef>
              <c:f>'Summary stats'!$B$611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0"/>
          <c:order val="610"/>
          <c:tx>
            <c:strRef>
              <c:f>'Summary stats'!$A$612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stats'!$A$612</c:f>
            </c:strRef>
          </c:xVal>
          <c:yVal>
            <c:numRef>
              <c:f>'Summary stats'!$B$612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1"/>
          <c:order val="611"/>
          <c:tx>
            <c:strRef>
              <c:f>'Summary stats'!$A$613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stats'!$A$613</c:f>
            </c:strRef>
          </c:xVal>
          <c:yVal>
            <c:numRef>
              <c:f>'Summary stats'!$B$613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2"/>
          <c:order val="612"/>
          <c:tx>
            <c:strRef>
              <c:f>'Summary stats'!$A$614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stats'!$A$614</c:f>
            </c:strRef>
          </c:xVal>
          <c:yVal>
            <c:numRef>
              <c:f>'Summary stats'!$B$614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3"/>
          <c:order val="613"/>
          <c:tx>
            <c:strRef>
              <c:f>'Summary stats'!$A$615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stats'!$A$615</c:f>
            </c:strRef>
          </c:xVal>
          <c:yVal>
            <c:numRef>
              <c:f>'Summary stats'!$B$615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4"/>
          <c:order val="614"/>
          <c:tx>
            <c:strRef>
              <c:f>'Summary stats'!$A$616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stats'!$A$616</c:f>
            </c:strRef>
          </c:xVal>
          <c:yVal>
            <c:numRef>
              <c:f>'Summary stats'!$B$616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5"/>
          <c:order val="615"/>
          <c:tx>
            <c:strRef>
              <c:f>'Summary stats'!$A$617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stats'!$A$617</c:f>
            </c:strRef>
          </c:xVal>
          <c:yVal>
            <c:numRef>
              <c:f>'Summary stats'!$B$617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6"/>
          <c:order val="616"/>
          <c:tx>
            <c:strRef>
              <c:f>'Summary stats'!$A$618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stats'!$A$618</c:f>
            </c:strRef>
          </c:xVal>
          <c:yVal>
            <c:numRef>
              <c:f>'Summary stats'!$B$618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7"/>
          <c:order val="617"/>
          <c:tx>
            <c:strRef>
              <c:f>'Summary stats'!$A$619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stats'!$A$619</c:f>
            </c:strRef>
          </c:xVal>
          <c:yVal>
            <c:numRef>
              <c:f>'Summary stats'!$B$619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8"/>
          <c:order val="618"/>
          <c:tx>
            <c:strRef>
              <c:f>'Summary stats'!$A$620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stats'!$A$620</c:f>
            </c:strRef>
          </c:xVal>
          <c:yVal>
            <c:numRef>
              <c:f>'Summary stats'!$B$620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19"/>
          <c:order val="619"/>
          <c:tx>
            <c:strRef>
              <c:f>'Summary stats'!$A$621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stats'!$A$621</c:f>
            </c:strRef>
          </c:xVal>
          <c:yVal>
            <c:numRef>
              <c:f>'Summary stats'!$B$621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0"/>
          <c:order val="620"/>
          <c:tx>
            <c:strRef>
              <c:f>'Summary stats'!$A$622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stats'!$A$622</c:f>
            </c:strRef>
          </c:xVal>
          <c:yVal>
            <c:numRef>
              <c:f>'Summary stats'!$B$622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1"/>
          <c:order val="621"/>
          <c:tx>
            <c:strRef>
              <c:f>'Summary stats'!$A$623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stats'!$A$623</c:f>
            </c:strRef>
          </c:xVal>
          <c:yVal>
            <c:numRef>
              <c:f>'Summary stats'!$B$623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2"/>
          <c:order val="622"/>
          <c:tx>
            <c:strRef>
              <c:f>'Summary stats'!$A$624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stats'!$A$624</c:f>
            </c:strRef>
          </c:xVal>
          <c:yVal>
            <c:numRef>
              <c:f>'Summary stats'!$B$624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3"/>
          <c:order val="623"/>
          <c:tx>
            <c:strRef>
              <c:f>'Summary stats'!$A$625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stats'!$A$625</c:f>
            </c:strRef>
          </c:xVal>
          <c:yVal>
            <c:numRef>
              <c:f>'Summary stats'!$B$625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4"/>
          <c:order val="624"/>
          <c:tx>
            <c:strRef>
              <c:f>'Summary stats'!$A$626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stats'!$A$626</c:f>
            </c:strRef>
          </c:xVal>
          <c:yVal>
            <c:numRef>
              <c:f>'Summary stats'!$B$626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5"/>
          <c:order val="625"/>
          <c:tx>
            <c:strRef>
              <c:f>'Summary stats'!$A$627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stats'!$A$627</c:f>
            </c:strRef>
          </c:xVal>
          <c:yVal>
            <c:numRef>
              <c:f>'Summary stats'!$B$627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6"/>
          <c:order val="626"/>
          <c:tx>
            <c:strRef>
              <c:f>'Summary stats'!$A$628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stats'!$A$628</c:f>
            </c:strRef>
          </c:xVal>
          <c:yVal>
            <c:numRef>
              <c:f>'Summary stats'!$B$628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7"/>
          <c:order val="627"/>
          <c:tx>
            <c:strRef>
              <c:f>'Summary stats'!$A$629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stats'!$A$629</c:f>
            </c:strRef>
          </c:xVal>
          <c:yVal>
            <c:numRef>
              <c:f>'Summary stats'!$B$629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8"/>
          <c:order val="628"/>
          <c:tx>
            <c:strRef>
              <c:f>'Summary stats'!$A$630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stats'!$A$630</c:f>
            </c:strRef>
          </c:xVal>
          <c:yVal>
            <c:numRef>
              <c:f>'Summary stats'!$B$630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29"/>
          <c:order val="629"/>
          <c:tx>
            <c:strRef>
              <c:f>'Summary stats'!$A$631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stats'!$A$631</c:f>
            </c:strRef>
          </c:xVal>
          <c:yVal>
            <c:numRef>
              <c:f>'Summary stats'!$B$631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0"/>
          <c:order val="630"/>
          <c:tx>
            <c:strRef>
              <c:f>'Summary stats'!$A$632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stats'!$A$632</c:f>
            </c:strRef>
          </c:xVal>
          <c:yVal>
            <c:numRef>
              <c:f>'Summary stats'!$B$632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1"/>
          <c:order val="631"/>
          <c:tx>
            <c:strRef>
              <c:f>'Summary stats'!$A$633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stats'!$A$633</c:f>
            </c:strRef>
          </c:xVal>
          <c:yVal>
            <c:numRef>
              <c:f>'Summary stats'!$B$633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2"/>
          <c:order val="632"/>
          <c:tx>
            <c:strRef>
              <c:f>'Summary stats'!$A$634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stats'!$A$634</c:f>
            </c:strRef>
          </c:xVal>
          <c:yVal>
            <c:numRef>
              <c:f>'Summary stats'!$B$634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3"/>
          <c:order val="633"/>
          <c:tx>
            <c:strRef>
              <c:f>'Summary stats'!$A$635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stats'!$A$635</c:f>
            </c:strRef>
          </c:xVal>
          <c:yVal>
            <c:numRef>
              <c:f>'Summary stats'!$B$635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4"/>
          <c:order val="634"/>
          <c:tx>
            <c:strRef>
              <c:f>'Summary stats'!$A$636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stats'!$A$636</c:f>
            </c:strRef>
          </c:xVal>
          <c:yVal>
            <c:numRef>
              <c:f>'Summary stats'!$B$636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5"/>
          <c:order val="635"/>
          <c:tx>
            <c:strRef>
              <c:f>'Summary stats'!$A$637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stats'!$A$637</c:f>
            </c:strRef>
          </c:xVal>
          <c:yVal>
            <c:numRef>
              <c:f>'Summary stats'!$B$637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6"/>
          <c:order val="636"/>
          <c:tx>
            <c:strRef>
              <c:f>'Summary stats'!$A$638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stats'!$A$638</c:f>
            </c:strRef>
          </c:xVal>
          <c:yVal>
            <c:numRef>
              <c:f>'Summary stats'!$B$638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7"/>
          <c:order val="637"/>
          <c:tx>
            <c:strRef>
              <c:f>'Summary stats'!$A$639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stats'!$A$639</c:f>
            </c:strRef>
          </c:xVal>
          <c:yVal>
            <c:numRef>
              <c:f>'Summary stats'!$B$639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8"/>
          <c:order val="638"/>
          <c:tx>
            <c:strRef>
              <c:f>'Summary stats'!$A$640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stats'!$A$640</c:f>
            </c:strRef>
          </c:xVal>
          <c:yVal>
            <c:numRef>
              <c:f>'Summary stats'!$B$640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39"/>
          <c:order val="639"/>
          <c:tx>
            <c:strRef>
              <c:f>'Summary stats'!$A$641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stats'!$A$641</c:f>
            </c:strRef>
          </c:xVal>
          <c:yVal>
            <c:numRef>
              <c:f>'Summary stats'!$B$641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0"/>
          <c:order val="640"/>
          <c:tx>
            <c:strRef>
              <c:f>'Summary stats'!$A$642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stats'!$A$642</c:f>
            </c:strRef>
          </c:xVal>
          <c:yVal>
            <c:numRef>
              <c:f>'Summary stats'!$B$642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1"/>
          <c:order val="641"/>
          <c:tx>
            <c:strRef>
              <c:f>'Summary stats'!$A$643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stats'!$A$643</c:f>
            </c:strRef>
          </c:xVal>
          <c:yVal>
            <c:numRef>
              <c:f>'Summary stats'!$B$643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2"/>
          <c:order val="642"/>
          <c:tx>
            <c:strRef>
              <c:f>'Summary stats'!$A$644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stats'!$A$644</c:f>
            </c:strRef>
          </c:xVal>
          <c:yVal>
            <c:numRef>
              <c:f>'Summary stats'!$B$644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3"/>
          <c:order val="643"/>
          <c:tx>
            <c:strRef>
              <c:f>'Summary stats'!$A$645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stats'!$A$645</c:f>
            </c:strRef>
          </c:xVal>
          <c:yVal>
            <c:numRef>
              <c:f>'Summary stats'!$B$645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4"/>
          <c:order val="644"/>
          <c:tx>
            <c:strRef>
              <c:f>'Summary stats'!$A$646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stats'!$A$646</c:f>
            </c:strRef>
          </c:xVal>
          <c:yVal>
            <c:numRef>
              <c:f>'Summary stats'!$B$646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5"/>
          <c:order val="645"/>
          <c:tx>
            <c:strRef>
              <c:f>'Summary stats'!$A$647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stats'!$A$647</c:f>
            </c:strRef>
          </c:xVal>
          <c:yVal>
            <c:numRef>
              <c:f>'Summary stats'!$B$647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6"/>
          <c:order val="646"/>
          <c:tx>
            <c:strRef>
              <c:f>'Summary stats'!$A$648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stats'!$A$648</c:f>
            </c:strRef>
          </c:xVal>
          <c:yVal>
            <c:numRef>
              <c:f>'Summary stats'!$B$648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7"/>
          <c:order val="647"/>
          <c:tx>
            <c:strRef>
              <c:f>'Summary stats'!$A$649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stats'!$A$649</c:f>
            </c:strRef>
          </c:xVal>
          <c:yVal>
            <c:numRef>
              <c:f>'Summary stats'!$B$649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8"/>
          <c:order val="648"/>
          <c:tx>
            <c:strRef>
              <c:f>'Summary stats'!$A$650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stats'!$A$650</c:f>
            </c:strRef>
          </c:xVal>
          <c:yVal>
            <c:numRef>
              <c:f>'Summary stats'!$B$650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49"/>
          <c:order val="649"/>
          <c:tx>
            <c:strRef>
              <c:f>'Summary stats'!$A$651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stats'!$A$651</c:f>
            </c:strRef>
          </c:xVal>
          <c:yVal>
            <c:numRef>
              <c:f>'Summary stats'!$B$651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0"/>
          <c:order val="650"/>
          <c:tx>
            <c:strRef>
              <c:f>'Summary stats'!$A$652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stats'!$A$652</c:f>
            </c:strRef>
          </c:xVal>
          <c:yVal>
            <c:numRef>
              <c:f>'Summary stats'!$B$652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1"/>
          <c:order val="651"/>
          <c:tx>
            <c:strRef>
              <c:f>'Summary stats'!$A$653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stats'!$A$653</c:f>
            </c:strRef>
          </c:xVal>
          <c:yVal>
            <c:numRef>
              <c:f>'Summary stats'!$B$653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2"/>
          <c:order val="652"/>
          <c:tx>
            <c:strRef>
              <c:f>'Summary stats'!$A$654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stats'!$A$654</c:f>
            </c:strRef>
          </c:xVal>
          <c:yVal>
            <c:numRef>
              <c:f>'Summary stats'!$B$654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3"/>
          <c:order val="653"/>
          <c:tx>
            <c:strRef>
              <c:f>'Summary stats'!$A$655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stats'!$A$655</c:f>
            </c:strRef>
          </c:xVal>
          <c:yVal>
            <c:numRef>
              <c:f>'Summary stats'!$B$655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4"/>
          <c:order val="654"/>
          <c:tx>
            <c:strRef>
              <c:f>'Summary stats'!$A$656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stats'!$A$656</c:f>
            </c:strRef>
          </c:xVal>
          <c:yVal>
            <c:numRef>
              <c:f>'Summary stats'!$B$656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5"/>
          <c:order val="655"/>
          <c:tx>
            <c:strRef>
              <c:f>'Summary stats'!$A$657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stats'!$A$657</c:f>
            </c:strRef>
          </c:xVal>
          <c:yVal>
            <c:numRef>
              <c:f>'Summary stats'!$B$657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6"/>
          <c:order val="656"/>
          <c:tx>
            <c:strRef>
              <c:f>'Summary stats'!$A$658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stats'!$A$658</c:f>
            </c:strRef>
          </c:xVal>
          <c:yVal>
            <c:numRef>
              <c:f>'Summary stats'!$B$658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7"/>
          <c:order val="657"/>
          <c:tx>
            <c:strRef>
              <c:f>'Summary stats'!$A$659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stats'!$A$659</c:f>
            </c:strRef>
          </c:xVal>
          <c:yVal>
            <c:numRef>
              <c:f>'Summary stats'!$B$659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8"/>
          <c:order val="658"/>
          <c:tx>
            <c:strRef>
              <c:f>'Summary stats'!$A$660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stats'!$A$660</c:f>
            </c:strRef>
          </c:xVal>
          <c:yVal>
            <c:numRef>
              <c:f>'Summary stats'!$B$660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59"/>
          <c:order val="659"/>
          <c:tx>
            <c:strRef>
              <c:f>'Summary stats'!$A$661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stats'!$A$661</c:f>
            </c:strRef>
          </c:xVal>
          <c:yVal>
            <c:numRef>
              <c:f>'Summary stats'!$B$661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0"/>
          <c:order val="660"/>
          <c:tx>
            <c:strRef>
              <c:f>'Summary stats'!$A$662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stats'!$A$662</c:f>
            </c:strRef>
          </c:xVal>
          <c:yVal>
            <c:numRef>
              <c:f>'Summary stats'!$B$662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1"/>
          <c:order val="661"/>
          <c:tx>
            <c:strRef>
              <c:f>'Summary stats'!$A$663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stats'!$A$663</c:f>
            </c:strRef>
          </c:xVal>
          <c:yVal>
            <c:numRef>
              <c:f>'Summary stats'!$B$663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2"/>
          <c:order val="662"/>
          <c:tx>
            <c:strRef>
              <c:f>'Summary stats'!$A$664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stats'!$A$664</c:f>
            </c:strRef>
          </c:xVal>
          <c:yVal>
            <c:numRef>
              <c:f>'Summary stats'!$B$664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3"/>
          <c:order val="663"/>
          <c:tx>
            <c:strRef>
              <c:f>'Summary stats'!$A$665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stats'!$A$665</c:f>
            </c:strRef>
          </c:xVal>
          <c:yVal>
            <c:numRef>
              <c:f>'Summary stats'!$B$665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4"/>
          <c:order val="664"/>
          <c:tx>
            <c:strRef>
              <c:f>'Summary stats'!$A$666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stats'!$A$666</c:f>
            </c:strRef>
          </c:xVal>
          <c:yVal>
            <c:numRef>
              <c:f>'Summary stats'!$B$666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5"/>
          <c:order val="665"/>
          <c:tx>
            <c:strRef>
              <c:f>'Summary stats'!$A$667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stats'!$A$667</c:f>
            </c:strRef>
          </c:xVal>
          <c:yVal>
            <c:numRef>
              <c:f>'Summary stats'!$B$667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6"/>
          <c:order val="666"/>
          <c:tx>
            <c:strRef>
              <c:f>'Summary stats'!$A$668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stats'!$A$668</c:f>
            </c:strRef>
          </c:xVal>
          <c:yVal>
            <c:numRef>
              <c:f>'Summary stats'!$B$668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7"/>
          <c:order val="667"/>
          <c:tx>
            <c:strRef>
              <c:f>'Summary stats'!$A$669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stats'!$A$669</c:f>
            </c:strRef>
          </c:xVal>
          <c:yVal>
            <c:numRef>
              <c:f>'Summary stats'!$B$669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8"/>
          <c:order val="668"/>
          <c:tx>
            <c:strRef>
              <c:f>'Summary stats'!$A$670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stats'!$A$670</c:f>
            </c:strRef>
          </c:xVal>
          <c:yVal>
            <c:numRef>
              <c:f>'Summary stats'!$B$670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69"/>
          <c:order val="669"/>
          <c:tx>
            <c:strRef>
              <c:f>'Summary stats'!$A$671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stats'!$A$671</c:f>
            </c:strRef>
          </c:xVal>
          <c:yVal>
            <c:numRef>
              <c:f>'Summary stats'!$B$671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0"/>
          <c:order val="670"/>
          <c:tx>
            <c:strRef>
              <c:f>'Summary stats'!$A$672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stats'!$A$672</c:f>
            </c:strRef>
          </c:xVal>
          <c:yVal>
            <c:numRef>
              <c:f>'Summary stats'!$B$672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1"/>
          <c:order val="671"/>
          <c:tx>
            <c:strRef>
              <c:f>'Summary stats'!$A$673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stats'!$A$673</c:f>
            </c:strRef>
          </c:xVal>
          <c:yVal>
            <c:numRef>
              <c:f>'Summary stats'!$B$673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2"/>
          <c:order val="672"/>
          <c:tx>
            <c:strRef>
              <c:f>'Summary stats'!$A$674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stats'!$A$674</c:f>
            </c:strRef>
          </c:xVal>
          <c:yVal>
            <c:numRef>
              <c:f>'Summary stats'!$B$674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3"/>
          <c:order val="673"/>
          <c:tx>
            <c:strRef>
              <c:f>'Summary stats'!$A$675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stats'!$A$675</c:f>
            </c:strRef>
          </c:xVal>
          <c:yVal>
            <c:numRef>
              <c:f>'Summary stats'!$B$675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4"/>
          <c:order val="674"/>
          <c:tx>
            <c:strRef>
              <c:f>'Summary stats'!$A$676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stats'!$A$676</c:f>
            </c:strRef>
          </c:xVal>
          <c:yVal>
            <c:numRef>
              <c:f>'Summary stats'!$B$676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5"/>
          <c:order val="675"/>
          <c:tx>
            <c:strRef>
              <c:f>'Summary stats'!$A$677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stats'!$A$677</c:f>
            </c:strRef>
          </c:xVal>
          <c:yVal>
            <c:numRef>
              <c:f>'Summary stats'!$B$677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6"/>
          <c:order val="676"/>
          <c:tx>
            <c:strRef>
              <c:f>'Summary stats'!$A$678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stats'!$A$678</c:f>
            </c:strRef>
          </c:xVal>
          <c:yVal>
            <c:numRef>
              <c:f>'Summary stats'!$B$678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7"/>
          <c:order val="677"/>
          <c:tx>
            <c:strRef>
              <c:f>'Summary stats'!$A$679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stats'!$A$679</c:f>
            </c:strRef>
          </c:xVal>
          <c:yVal>
            <c:numRef>
              <c:f>'Summary stats'!$B$679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8"/>
          <c:order val="678"/>
          <c:tx>
            <c:strRef>
              <c:f>'Summary stats'!$A$680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stats'!$A$680</c:f>
            </c:strRef>
          </c:xVal>
          <c:yVal>
            <c:numRef>
              <c:f>'Summary stats'!$B$680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79"/>
          <c:order val="679"/>
          <c:tx>
            <c:strRef>
              <c:f>'Summary stats'!$A$681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stats'!$A$681</c:f>
            </c:strRef>
          </c:xVal>
          <c:yVal>
            <c:numRef>
              <c:f>'Summary stats'!$B$681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0"/>
          <c:order val="680"/>
          <c:tx>
            <c:strRef>
              <c:f>'Summary stats'!$A$682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stats'!$A$682</c:f>
            </c:strRef>
          </c:xVal>
          <c:yVal>
            <c:numRef>
              <c:f>'Summary stats'!$B$682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1"/>
          <c:order val="681"/>
          <c:tx>
            <c:strRef>
              <c:f>'Summary stats'!$A$683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stats'!$A$683</c:f>
            </c:strRef>
          </c:xVal>
          <c:yVal>
            <c:numRef>
              <c:f>'Summary stats'!$B$683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2"/>
          <c:order val="682"/>
          <c:tx>
            <c:strRef>
              <c:f>'Summary stats'!$A$684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stats'!$A$684</c:f>
            </c:strRef>
          </c:xVal>
          <c:yVal>
            <c:numRef>
              <c:f>'Summary stats'!$B$684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3"/>
          <c:order val="683"/>
          <c:tx>
            <c:strRef>
              <c:f>'Summary stats'!$A$685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stats'!$A$685</c:f>
            </c:strRef>
          </c:xVal>
          <c:yVal>
            <c:numRef>
              <c:f>'Summary stats'!$B$685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4"/>
          <c:order val="684"/>
          <c:tx>
            <c:strRef>
              <c:f>'Summary stats'!$A$686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stats'!$A$686</c:f>
            </c:strRef>
          </c:xVal>
          <c:yVal>
            <c:numRef>
              <c:f>'Summary stats'!$B$686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5"/>
          <c:order val="685"/>
          <c:tx>
            <c:strRef>
              <c:f>'Summary stats'!$A$687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stats'!$A$687</c:f>
            </c:strRef>
          </c:xVal>
          <c:yVal>
            <c:numRef>
              <c:f>'Summary stats'!$B$687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6"/>
          <c:order val="686"/>
          <c:tx>
            <c:strRef>
              <c:f>'Summary stats'!$A$688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stats'!$A$688</c:f>
            </c:strRef>
          </c:xVal>
          <c:yVal>
            <c:numRef>
              <c:f>'Summary stats'!$B$688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7"/>
          <c:order val="687"/>
          <c:tx>
            <c:strRef>
              <c:f>'Summary stats'!$A$689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stats'!$A$689</c:f>
            </c:strRef>
          </c:xVal>
          <c:yVal>
            <c:numRef>
              <c:f>'Summary stats'!$B$689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8"/>
          <c:order val="688"/>
          <c:tx>
            <c:strRef>
              <c:f>'Summary stats'!$A$690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stats'!$A$690</c:f>
            </c:strRef>
          </c:xVal>
          <c:yVal>
            <c:numRef>
              <c:f>'Summary stats'!$B$690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89"/>
          <c:order val="689"/>
          <c:tx>
            <c:strRef>
              <c:f>'Summary stats'!$A$691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stats'!$A$691</c:f>
            </c:strRef>
          </c:xVal>
          <c:yVal>
            <c:numRef>
              <c:f>'Summary stats'!$B$691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0"/>
          <c:order val="690"/>
          <c:tx>
            <c:strRef>
              <c:f>'Summary stats'!$A$692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stats'!$A$692</c:f>
            </c:strRef>
          </c:xVal>
          <c:yVal>
            <c:numRef>
              <c:f>'Summary stats'!$B$692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1"/>
          <c:order val="691"/>
          <c:tx>
            <c:strRef>
              <c:f>'Summary stats'!$A$693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stats'!$A$693</c:f>
            </c:strRef>
          </c:xVal>
          <c:yVal>
            <c:numRef>
              <c:f>'Summary stats'!$B$693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2"/>
          <c:order val="692"/>
          <c:tx>
            <c:strRef>
              <c:f>'Summary stats'!$A$694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stats'!$A$694</c:f>
            </c:strRef>
          </c:xVal>
          <c:yVal>
            <c:numRef>
              <c:f>'Summary stats'!$B$694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3"/>
          <c:order val="693"/>
          <c:tx>
            <c:strRef>
              <c:f>'Summary stats'!$A$695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stats'!$A$695</c:f>
            </c:strRef>
          </c:xVal>
          <c:yVal>
            <c:numRef>
              <c:f>'Summary stats'!$B$695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4"/>
          <c:order val="694"/>
          <c:tx>
            <c:strRef>
              <c:f>'Summary stats'!$A$696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stats'!$A$696</c:f>
            </c:strRef>
          </c:xVal>
          <c:yVal>
            <c:numRef>
              <c:f>'Summary stats'!$B$696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5"/>
          <c:order val="695"/>
          <c:tx>
            <c:strRef>
              <c:f>'Summary stats'!$A$697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stats'!$A$697</c:f>
            </c:strRef>
          </c:xVal>
          <c:yVal>
            <c:numRef>
              <c:f>'Summary stats'!$B$697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6"/>
          <c:order val="696"/>
          <c:tx>
            <c:strRef>
              <c:f>'Summary stats'!$A$698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stats'!$A$698</c:f>
            </c:strRef>
          </c:xVal>
          <c:yVal>
            <c:numRef>
              <c:f>'Summary stats'!$B$698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7"/>
          <c:order val="697"/>
          <c:tx>
            <c:strRef>
              <c:f>'Summary stats'!$A$699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stats'!$A$699</c:f>
            </c:strRef>
          </c:xVal>
          <c:yVal>
            <c:numRef>
              <c:f>'Summary stats'!$B$699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8"/>
          <c:order val="698"/>
          <c:tx>
            <c:strRef>
              <c:f>'Summary stats'!$A$700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stats'!$A$700</c:f>
            </c:strRef>
          </c:xVal>
          <c:yVal>
            <c:numRef>
              <c:f>'Summary stats'!$B$700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699"/>
          <c:order val="699"/>
          <c:tx>
            <c:strRef>
              <c:f>'Summary stats'!$A$701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stats'!$A$701</c:f>
            </c:strRef>
          </c:xVal>
          <c:yVal>
            <c:numRef>
              <c:f>'Summary stats'!$B$701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0"/>
          <c:order val="700"/>
          <c:tx>
            <c:strRef>
              <c:f>'Summary stats'!$A$702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stats'!$A$702</c:f>
            </c:strRef>
          </c:xVal>
          <c:yVal>
            <c:numRef>
              <c:f>'Summary stats'!$B$702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1"/>
          <c:order val="701"/>
          <c:tx>
            <c:strRef>
              <c:f>'Summary stats'!$A$703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stats'!$A$703</c:f>
            </c:strRef>
          </c:xVal>
          <c:yVal>
            <c:numRef>
              <c:f>'Summary stats'!$B$703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2"/>
          <c:order val="702"/>
          <c:tx>
            <c:strRef>
              <c:f>'Summary stats'!$A$704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stats'!$A$704</c:f>
            </c:strRef>
          </c:xVal>
          <c:yVal>
            <c:numRef>
              <c:f>'Summary stats'!$B$704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3"/>
          <c:order val="703"/>
          <c:tx>
            <c:strRef>
              <c:f>'Summary stats'!$A$705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stats'!$A$705</c:f>
            </c:strRef>
          </c:xVal>
          <c:yVal>
            <c:numRef>
              <c:f>'Summary stats'!$B$705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4"/>
          <c:order val="704"/>
          <c:tx>
            <c:strRef>
              <c:f>'Summary stats'!$A$706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stats'!$A$706</c:f>
            </c:strRef>
          </c:xVal>
          <c:yVal>
            <c:numRef>
              <c:f>'Summary stats'!$B$706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5"/>
          <c:order val="705"/>
          <c:tx>
            <c:strRef>
              <c:f>'Summary stats'!$A$707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stats'!$A$707</c:f>
            </c:strRef>
          </c:xVal>
          <c:yVal>
            <c:numRef>
              <c:f>'Summary stats'!$B$707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6"/>
          <c:order val="706"/>
          <c:tx>
            <c:strRef>
              <c:f>'Summary stats'!$A$708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stats'!$A$708</c:f>
            </c:strRef>
          </c:xVal>
          <c:yVal>
            <c:numRef>
              <c:f>'Summary stats'!$B$708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7"/>
          <c:order val="707"/>
          <c:tx>
            <c:strRef>
              <c:f>'Summary stats'!$A$709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stats'!$A$709</c:f>
            </c:strRef>
          </c:xVal>
          <c:yVal>
            <c:numRef>
              <c:f>'Summary stats'!$B$709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8"/>
          <c:order val="708"/>
          <c:tx>
            <c:strRef>
              <c:f>'Summary stats'!$A$710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stats'!$A$710</c:f>
            </c:strRef>
          </c:xVal>
          <c:yVal>
            <c:numRef>
              <c:f>'Summary stats'!$B$710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09"/>
          <c:order val="709"/>
          <c:tx>
            <c:strRef>
              <c:f>'Summary stats'!$A$711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stats'!$A$711</c:f>
            </c:strRef>
          </c:xVal>
          <c:yVal>
            <c:numRef>
              <c:f>'Summary stats'!$B$711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0"/>
          <c:order val="710"/>
          <c:tx>
            <c:strRef>
              <c:f>'Summary stats'!$A$712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stats'!$A$712</c:f>
            </c:strRef>
          </c:xVal>
          <c:yVal>
            <c:numRef>
              <c:f>'Summary stats'!$B$712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1"/>
          <c:order val="711"/>
          <c:tx>
            <c:strRef>
              <c:f>'Summary stats'!$A$713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stats'!$A$713</c:f>
            </c:strRef>
          </c:xVal>
          <c:yVal>
            <c:numRef>
              <c:f>'Summary stats'!$B$713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2"/>
          <c:order val="712"/>
          <c:tx>
            <c:strRef>
              <c:f>'Summary stats'!$A$714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stats'!$A$714</c:f>
            </c:strRef>
          </c:xVal>
          <c:yVal>
            <c:numRef>
              <c:f>'Summary stats'!$B$714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3"/>
          <c:order val="713"/>
          <c:tx>
            <c:strRef>
              <c:f>'Summary stats'!$A$715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stats'!$A$715</c:f>
            </c:strRef>
          </c:xVal>
          <c:yVal>
            <c:numRef>
              <c:f>'Summary stats'!$B$715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4"/>
          <c:order val="714"/>
          <c:tx>
            <c:strRef>
              <c:f>'Summary stats'!$A$716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stats'!$A$716</c:f>
            </c:strRef>
          </c:xVal>
          <c:yVal>
            <c:numRef>
              <c:f>'Summary stats'!$B$716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5"/>
          <c:order val="715"/>
          <c:tx>
            <c:strRef>
              <c:f>'Summary stats'!$A$717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stats'!$A$717</c:f>
            </c:strRef>
          </c:xVal>
          <c:yVal>
            <c:numRef>
              <c:f>'Summary stats'!$B$717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6"/>
          <c:order val="716"/>
          <c:tx>
            <c:strRef>
              <c:f>'Summary stats'!$A$718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stats'!$A$718</c:f>
            </c:strRef>
          </c:xVal>
          <c:yVal>
            <c:numRef>
              <c:f>'Summary stats'!$B$718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7"/>
          <c:order val="717"/>
          <c:tx>
            <c:strRef>
              <c:f>'Summary stats'!$A$719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stats'!$A$719</c:f>
            </c:strRef>
          </c:xVal>
          <c:yVal>
            <c:numRef>
              <c:f>'Summary stats'!$B$719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8"/>
          <c:order val="718"/>
          <c:tx>
            <c:strRef>
              <c:f>'Summary stats'!$A$720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stats'!$A$720</c:f>
            </c:strRef>
          </c:xVal>
          <c:yVal>
            <c:numRef>
              <c:f>'Summary stats'!$B$720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19"/>
          <c:order val="719"/>
          <c:tx>
            <c:strRef>
              <c:f>'Summary stats'!$A$721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stats'!$A$721</c:f>
            </c:strRef>
          </c:xVal>
          <c:yVal>
            <c:numRef>
              <c:f>'Summary stats'!$B$721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0"/>
          <c:order val="720"/>
          <c:tx>
            <c:strRef>
              <c:f>'Summary stats'!$A$722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stats'!$A$722</c:f>
            </c:strRef>
          </c:xVal>
          <c:yVal>
            <c:numRef>
              <c:f>'Summary stats'!$B$722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1"/>
          <c:order val="721"/>
          <c:tx>
            <c:strRef>
              <c:f>'Summary stats'!$A$723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stats'!$A$723</c:f>
            </c:strRef>
          </c:xVal>
          <c:yVal>
            <c:numRef>
              <c:f>'Summary stats'!$B$723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2"/>
          <c:order val="722"/>
          <c:tx>
            <c:strRef>
              <c:f>'Summary stats'!$A$724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stats'!$A$724</c:f>
            </c:strRef>
          </c:xVal>
          <c:yVal>
            <c:numRef>
              <c:f>'Summary stats'!$B$724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3"/>
          <c:order val="723"/>
          <c:tx>
            <c:strRef>
              <c:f>'Summary stats'!$A$725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stats'!$A$725</c:f>
            </c:strRef>
          </c:xVal>
          <c:yVal>
            <c:numRef>
              <c:f>'Summary stats'!$B$725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4"/>
          <c:order val="724"/>
          <c:tx>
            <c:strRef>
              <c:f>'Summary stats'!$A$726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stats'!$A$726</c:f>
            </c:strRef>
          </c:xVal>
          <c:yVal>
            <c:numRef>
              <c:f>'Summary stats'!$B$726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5"/>
          <c:order val="725"/>
          <c:tx>
            <c:strRef>
              <c:f>'Summary stats'!$A$727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stats'!$A$727</c:f>
            </c:strRef>
          </c:xVal>
          <c:yVal>
            <c:numRef>
              <c:f>'Summary stats'!$B$727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6"/>
          <c:order val="726"/>
          <c:tx>
            <c:strRef>
              <c:f>'Summary stats'!$A$728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stats'!$A$728</c:f>
            </c:strRef>
          </c:xVal>
          <c:yVal>
            <c:numRef>
              <c:f>'Summary stats'!$B$728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7"/>
          <c:order val="727"/>
          <c:tx>
            <c:strRef>
              <c:f>'Summary stats'!$A$729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stats'!$A$729</c:f>
            </c:strRef>
          </c:xVal>
          <c:yVal>
            <c:numRef>
              <c:f>'Summary stats'!$B$729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8"/>
          <c:order val="728"/>
          <c:tx>
            <c:strRef>
              <c:f>'Summary stats'!$A$730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stats'!$A$730</c:f>
            </c:strRef>
          </c:xVal>
          <c:yVal>
            <c:numRef>
              <c:f>'Summary stats'!$B$730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29"/>
          <c:order val="729"/>
          <c:tx>
            <c:strRef>
              <c:f>'Summary stats'!$A$731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stats'!$A$731</c:f>
            </c:strRef>
          </c:xVal>
          <c:yVal>
            <c:numRef>
              <c:f>'Summary stats'!$B$731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0"/>
          <c:order val="730"/>
          <c:tx>
            <c:strRef>
              <c:f>'Summary stats'!$A$732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stats'!$A$732</c:f>
            </c:strRef>
          </c:xVal>
          <c:yVal>
            <c:numRef>
              <c:f>'Summary stats'!$B$732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1"/>
          <c:order val="731"/>
          <c:tx>
            <c:strRef>
              <c:f>'Summary stats'!$A$733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stats'!$A$733</c:f>
            </c:strRef>
          </c:xVal>
          <c:yVal>
            <c:numRef>
              <c:f>'Summary stats'!$B$733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2"/>
          <c:order val="732"/>
          <c:tx>
            <c:strRef>
              <c:f>'Summary stats'!$A$734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stats'!$A$734</c:f>
            </c:strRef>
          </c:xVal>
          <c:yVal>
            <c:numRef>
              <c:f>'Summary stats'!$B$734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3"/>
          <c:order val="733"/>
          <c:tx>
            <c:strRef>
              <c:f>'Summary stats'!$A$735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stats'!$A$735</c:f>
            </c:strRef>
          </c:xVal>
          <c:yVal>
            <c:numRef>
              <c:f>'Summary stats'!$B$735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4"/>
          <c:order val="734"/>
          <c:tx>
            <c:strRef>
              <c:f>'Summary stats'!$A$736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stats'!$A$736</c:f>
            </c:strRef>
          </c:xVal>
          <c:yVal>
            <c:numRef>
              <c:f>'Summary stats'!$B$736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5"/>
          <c:order val="735"/>
          <c:tx>
            <c:strRef>
              <c:f>'Summary stats'!$A$737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stats'!$A$737</c:f>
            </c:strRef>
          </c:xVal>
          <c:yVal>
            <c:numRef>
              <c:f>'Summary stats'!$B$737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6"/>
          <c:order val="736"/>
          <c:tx>
            <c:strRef>
              <c:f>'Summary stats'!$A$738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stats'!$A$738</c:f>
            </c:strRef>
          </c:xVal>
          <c:yVal>
            <c:numRef>
              <c:f>'Summary stats'!$B$738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7"/>
          <c:order val="737"/>
          <c:tx>
            <c:strRef>
              <c:f>'Summary stats'!$A$739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stats'!$A$739</c:f>
            </c:strRef>
          </c:xVal>
          <c:yVal>
            <c:numRef>
              <c:f>'Summary stats'!$B$739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8"/>
          <c:order val="738"/>
          <c:tx>
            <c:strRef>
              <c:f>'Summary stats'!$A$740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stats'!$A$740</c:f>
            </c:strRef>
          </c:xVal>
          <c:yVal>
            <c:numRef>
              <c:f>'Summary stats'!$B$740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39"/>
          <c:order val="739"/>
          <c:tx>
            <c:strRef>
              <c:f>'Summary stats'!$A$741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stats'!$A$741</c:f>
            </c:strRef>
          </c:xVal>
          <c:yVal>
            <c:numRef>
              <c:f>'Summary stats'!$B$741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0"/>
          <c:order val="740"/>
          <c:tx>
            <c:strRef>
              <c:f>'Summary stats'!$A$742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stats'!$A$742</c:f>
            </c:strRef>
          </c:xVal>
          <c:yVal>
            <c:numRef>
              <c:f>'Summary stats'!$B$742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1"/>
          <c:order val="741"/>
          <c:tx>
            <c:strRef>
              <c:f>'Summary stats'!$A$743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stats'!$A$743</c:f>
            </c:strRef>
          </c:xVal>
          <c:yVal>
            <c:numRef>
              <c:f>'Summary stats'!$B$743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2"/>
          <c:order val="742"/>
          <c:tx>
            <c:strRef>
              <c:f>'Summary stats'!$A$744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stats'!$A$744</c:f>
            </c:strRef>
          </c:xVal>
          <c:yVal>
            <c:numRef>
              <c:f>'Summary stats'!$B$744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3"/>
          <c:order val="743"/>
          <c:tx>
            <c:strRef>
              <c:f>'Summary stats'!$A$745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stats'!$A$745</c:f>
            </c:strRef>
          </c:xVal>
          <c:yVal>
            <c:numRef>
              <c:f>'Summary stats'!$B$745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4"/>
          <c:order val="744"/>
          <c:tx>
            <c:strRef>
              <c:f>'Summary stats'!$A$746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stats'!$A$746</c:f>
            </c:strRef>
          </c:xVal>
          <c:yVal>
            <c:numRef>
              <c:f>'Summary stats'!$B$746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5"/>
          <c:order val="745"/>
          <c:tx>
            <c:strRef>
              <c:f>'Summary stats'!$A$747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stats'!$A$747</c:f>
            </c:strRef>
          </c:xVal>
          <c:yVal>
            <c:numRef>
              <c:f>'Summary stats'!$B$747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6"/>
          <c:order val="746"/>
          <c:tx>
            <c:strRef>
              <c:f>'Summary stats'!$A$748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stats'!$A$748</c:f>
            </c:strRef>
          </c:xVal>
          <c:yVal>
            <c:numRef>
              <c:f>'Summary stats'!$B$748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7"/>
          <c:order val="747"/>
          <c:tx>
            <c:strRef>
              <c:f>'Summary stats'!$A$749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stats'!$A$749</c:f>
            </c:strRef>
          </c:xVal>
          <c:yVal>
            <c:numRef>
              <c:f>'Summary stats'!$B$749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8"/>
          <c:order val="748"/>
          <c:tx>
            <c:strRef>
              <c:f>'Summary stats'!$A$750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stats'!$A$750</c:f>
            </c:strRef>
          </c:xVal>
          <c:yVal>
            <c:numRef>
              <c:f>'Summary stats'!$B$750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49"/>
          <c:order val="749"/>
          <c:tx>
            <c:strRef>
              <c:f>'Summary stats'!$A$751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stats'!$A$751</c:f>
            </c:strRef>
          </c:xVal>
          <c:yVal>
            <c:numRef>
              <c:f>'Summary stats'!$B$751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0"/>
          <c:order val="750"/>
          <c:tx>
            <c:strRef>
              <c:f>'Summary stats'!$A$752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stats'!$A$752</c:f>
            </c:strRef>
          </c:xVal>
          <c:yVal>
            <c:numRef>
              <c:f>'Summary stats'!$B$752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1"/>
          <c:order val="751"/>
          <c:tx>
            <c:strRef>
              <c:f>'Summary stats'!$A$753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stats'!$A$753</c:f>
            </c:strRef>
          </c:xVal>
          <c:yVal>
            <c:numRef>
              <c:f>'Summary stats'!$B$753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2"/>
          <c:order val="752"/>
          <c:tx>
            <c:strRef>
              <c:f>'Summary stats'!$A$754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stats'!$A$754</c:f>
            </c:strRef>
          </c:xVal>
          <c:yVal>
            <c:numRef>
              <c:f>'Summary stats'!$B$754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3"/>
          <c:order val="753"/>
          <c:tx>
            <c:strRef>
              <c:f>'Summary stats'!$A$755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stats'!$A$755</c:f>
            </c:strRef>
          </c:xVal>
          <c:yVal>
            <c:numRef>
              <c:f>'Summary stats'!$B$755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4"/>
          <c:order val="754"/>
          <c:tx>
            <c:strRef>
              <c:f>'Summary stats'!$A$756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stats'!$A$756</c:f>
            </c:strRef>
          </c:xVal>
          <c:yVal>
            <c:numRef>
              <c:f>'Summary stats'!$B$756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5"/>
          <c:order val="755"/>
          <c:tx>
            <c:strRef>
              <c:f>'Summary stats'!$A$757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stats'!$A$757</c:f>
            </c:strRef>
          </c:xVal>
          <c:yVal>
            <c:numRef>
              <c:f>'Summary stats'!$B$757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6"/>
          <c:order val="756"/>
          <c:tx>
            <c:strRef>
              <c:f>'Summary stats'!$A$758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stats'!$A$758</c:f>
            </c:strRef>
          </c:xVal>
          <c:yVal>
            <c:numRef>
              <c:f>'Summary stats'!$B$758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7"/>
          <c:order val="757"/>
          <c:tx>
            <c:strRef>
              <c:f>'Summary stats'!$A$759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stats'!$A$759</c:f>
            </c:strRef>
          </c:xVal>
          <c:yVal>
            <c:numRef>
              <c:f>'Summary stats'!$B$759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8"/>
          <c:order val="758"/>
          <c:tx>
            <c:strRef>
              <c:f>'Summary stats'!$A$760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stats'!$A$760</c:f>
            </c:strRef>
          </c:xVal>
          <c:yVal>
            <c:numRef>
              <c:f>'Summary stats'!$B$760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59"/>
          <c:order val="759"/>
          <c:tx>
            <c:strRef>
              <c:f>'Summary stats'!$A$761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stats'!$A$761</c:f>
            </c:strRef>
          </c:xVal>
          <c:yVal>
            <c:numRef>
              <c:f>'Summary stats'!$B$761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0"/>
          <c:order val="760"/>
          <c:tx>
            <c:strRef>
              <c:f>'Summary stats'!$A$762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stats'!$A$762</c:f>
            </c:strRef>
          </c:xVal>
          <c:yVal>
            <c:numRef>
              <c:f>'Summary stats'!$B$762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1"/>
          <c:order val="761"/>
          <c:tx>
            <c:strRef>
              <c:f>'Summary stats'!$A$763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stats'!$A$763</c:f>
            </c:strRef>
          </c:xVal>
          <c:yVal>
            <c:numRef>
              <c:f>'Summary stats'!$B$763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2"/>
          <c:order val="762"/>
          <c:tx>
            <c:strRef>
              <c:f>'Summary stats'!$A$764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stats'!$A$764</c:f>
            </c:strRef>
          </c:xVal>
          <c:yVal>
            <c:numRef>
              <c:f>'Summary stats'!$B$764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3"/>
          <c:order val="763"/>
          <c:tx>
            <c:strRef>
              <c:f>'Summary stats'!$A$765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stats'!$A$765</c:f>
            </c:strRef>
          </c:xVal>
          <c:yVal>
            <c:numRef>
              <c:f>'Summary stats'!$B$765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4"/>
          <c:order val="764"/>
          <c:tx>
            <c:strRef>
              <c:f>'Summary stats'!$A$766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stats'!$A$766</c:f>
            </c:strRef>
          </c:xVal>
          <c:yVal>
            <c:numRef>
              <c:f>'Summary stats'!$B$766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5"/>
          <c:order val="765"/>
          <c:tx>
            <c:strRef>
              <c:f>'Summary stats'!$A$767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stats'!$A$767</c:f>
            </c:strRef>
          </c:xVal>
          <c:yVal>
            <c:numRef>
              <c:f>'Summary stats'!$B$767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6"/>
          <c:order val="766"/>
          <c:tx>
            <c:strRef>
              <c:f>'Summary stats'!$A$768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stats'!$A$768</c:f>
            </c:strRef>
          </c:xVal>
          <c:yVal>
            <c:numRef>
              <c:f>'Summary stats'!$B$768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7"/>
          <c:order val="767"/>
          <c:tx>
            <c:strRef>
              <c:f>'Summary stats'!$A$769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stats'!$A$769</c:f>
            </c:strRef>
          </c:xVal>
          <c:yVal>
            <c:numRef>
              <c:f>'Summary stats'!$B$769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8"/>
          <c:order val="768"/>
          <c:tx>
            <c:strRef>
              <c:f>'Summary stats'!$A$770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stats'!$A$770</c:f>
            </c:strRef>
          </c:xVal>
          <c:yVal>
            <c:numRef>
              <c:f>'Summary stats'!$B$770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69"/>
          <c:order val="769"/>
          <c:tx>
            <c:strRef>
              <c:f>'Summary stats'!$A$771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stats'!$A$771</c:f>
            </c:strRef>
          </c:xVal>
          <c:yVal>
            <c:numRef>
              <c:f>'Summary stats'!$B$771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0"/>
          <c:order val="770"/>
          <c:tx>
            <c:strRef>
              <c:f>'Summary stats'!$A$772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stats'!$A$772</c:f>
            </c:strRef>
          </c:xVal>
          <c:yVal>
            <c:numRef>
              <c:f>'Summary stats'!$B$772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1"/>
          <c:order val="771"/>
          <c:tx>
            <c:strRef>
              <c:f>'Summary stats'!$A$773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stats'!$A$773</c:f>
            </c:strRef>
          </c:xVal>
          <c:yVal>
            <c:numRef>
              <c:f>'Summary stats'!$B$773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2"/>
          <c:order val="772"/>
          <c:tx>
            <c:strRef>
              <c:f>'Summary stats'!$A$774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stats'!$A$774</c:f>
            </c:strRef>
          </c:xVal>
          <c:yVal>
            <c:numRef>
              <c:f>'Summary stats'!$B$774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3"/>
          <c:order val="773"/>
          <c:tx>
            <c:strRef>
              <c:f>'Summary stats'!$A$775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stats'!$A$775</c:f>
            </c:strRef>
          </c:xVal>
          <c:yVal>
            <c:numRef>
              <c:f>'Summary stats'!$B$775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4"/>
          <c:order val="774"/>
          <c:tx>
            <c:strRef>
              <c:f>'Summary stats'!$A$776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stats'!$A$776</c:f>
            </c:strRef>
          </c:xVal>
          <c:yVal>
            <c:numRef>
              <c:f>'Summary stats'!$B$776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5"/>
          <c:order val="775"/>
          <c:tx>
            <c:strRef>
              <c:f>'Summary stats'!$A$777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stats'!$A$777</c:f>
            </c:strRef>
          </c:xVal>
          <c:yVal>
            <c:numRef>
              <c:f>'Summary stats'!$B$777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6"/>
          <c:order val="776"/>
          <c:tx>
            <c:strRef>
              <c:f>'Summary stats'!$A$778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stats'!$A$778</c:f>
            </c:strRef>
          </c:xVal>
          <c:yVal>
            <c:numRef>
              <c:f>'Summary stats'!$B$778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7"/>
          <c:order val="777"/>
          <c:tx>
            <c:strRef>
              <c:f>'Summary stats'!$A$779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stats'!$A$779</c:f>
            </c:strRef>
          </c:xVal>
          <c:yVal>
            <c:numRef>
              <c:f>'Summary stats'!$B$779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8"/>
          <c:order val="778"/>
          <c:tx>
            <c:strRef>
              <c:f>'Summary stats'!$A$780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stats'!$A$780</c:f>
            </c:strRef>
          </c:xVal>
          <c:yVal>
            <c:numRef>
              <c:f>'Summary stats'!$B$780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79"/>
          <c:order val="779"/>
          <c:tx>
            <c:strRef>
              <c:f>'Summary stats'!$A$781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stats'!$A$781</c:f>
            </c:strRef>
          </c:xVal>
          <c:yVal>
            <c:numRef>
              <c:f>'Summary stats'!$B$781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0"/>
          <c:order val="780"/>
          <c:tx>
            <c:strRef>
              <c:f>'Summary stats'!$A$782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stats'!$A$782</c:f>
            </c:strRef>
          </c:xVal>
          <c:yVal>
            <c:numRef>
              <c:f>'Summary stats'!$B$782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1"/>
          <c:order val="781"/>
          <c:tx>
            <c:strRef>
              <c:f>'Summary stats'!$A$783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stats'!$A$783</c:f>
            </c:strRef>
          </c:xVal>
          <c:yVal>
            <c:numRef>
              <c:f>'Summary stats'!$B$783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2"/>
          <c:order val="782"/>
          <c:tx>
            <c:strRef>
              <c:f>'Summary stats'!$A$784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stats'!$A$784</c:f>
            </c:strRef>
          </c:xVal>
          <c:yVal>
            <c:numRef>
              <c:f>'Summary stats'!$B$784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3"/>
          <c:order val="783"/>
          <c:tx>
            <c:strRef>
              <c:f>'Summary stats'!$A$785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stats'!$A$785</c:f>
            </c:strRef>
          </c:xVal>
          <c:yVal>
            <c:numRef>
              <c:f>'Summary stats'!$B$785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4"/>
          <c:order val="784"/>
          <c:tx>
            <c:strRef>
              <c:f>'Summary stats'!$A$786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stats'!$A$786</c:f>
            </c:strRef>
          </c:xVal>
          <c:yVal>
            <c:numRef>
              <c:f>'Summary stats'!$B$786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5"/>
          <c:order val="785"/>
          <c:tx>
            <c:strRef>
              <c:f>'Summary stats'!$A$787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stats'!$A$787</c:f>
            </c:strRef>
          </c:xVal>
          <c:yVal>
            <c:numRef>
              <c:f>'Summary stats'!$B$787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6"/>
          <c:order val="786"/>
          <c:tx>
            <c:strRef>
              <c:f>'Summary stats'!$A$788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stats'!$A$788</c:f>
            </c:strRef>
          </c:xVal>
          <c:yVal>
            <c:numRef>
              <c:f>'Summary stats'!$B$788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7"/>
          <c:order val="787"/>
          <c:tx>
            <c:strRef>
              <c:f>'Summary stats'!$A$789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stats'!$A$789</c:f>
            </c:strRef>
          </c:xVal>
          <c:yVal>
            <c:numRef>
              <c:f>'Summary stats'!$B$789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8"/>
          <c:order val="788"/>
          <c:tx>
            <c:strRef>
              <c:f>'Summary stats'!$A$790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stats'!$A$790</c:f>
            </c:strRef>
          </c:xVal>
          <c:yVal>
            <c:numRef>
              <c:f>'Summary stats'!$B$790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89"/>
          <c:order val="789"/>
          <c:tx>
            <c:strRef>
              <c:f>'Summary stats'!$A$791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stats'!$A$791</c:f>
            </c:strRef>
          </c:xVal>
          <c:yVal>
            <c:numRef>
              <c:f>'Summary stats'!$B$791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0"/>
          <c:order val="790"/>
          <c:tx>
            <c:strRef>
              <c:f>'Summary stats'!$A$792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stats'!$A$792</c:f>
            </c:strRef>
          </c:xVal>
          <c:yVal>
            <c:numRef>
              <c:f>'Summary stats'!$B$792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1"/>
          <c:order val="791"/>
          <c:tx>
            <c:strRef>
              <c:f>'Summary stats'!$A$793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stats'!$A$793</c:f>
            </c:strRef>
          </c:xVal>
          <c:yVal>
            <c:numRef>
              <c:f>'Summary stats'!$B$793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2"/>
          <c:order val="792"/>
          <c:tx>
            <c:strRef>
              <c:f>'Summary stats'!$A$794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stats'!$A$794</c:f>
            </c:strRef>
          </c:xVal>
          <c:yVal>
            <c:numRef>
              <c:f>'Summary stats'!$B$794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3"/>
          <c:order val="793"/>
          <c:tx>
            <c:strRef>
              <c:f>'Summary stats'!$A$795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stats'!$A$795</c:f>
            </c:strRef>
          </c:xVal>
          <c:yVal>
            <c:numRef>
              <c:f>'Summary stats'!$B$795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4"/>
          <c:order val="794"/>
          <c:tx>
            <c:strRef>
              <c:f>'Summary stats'!$A$796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stats'!$A$796</c:f>
            </c:strRef>
          </c:xVal>
          <c:yVal>
            <c:numRef>
              <c:f>'Summary stats'!$B$796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5"/>
          <c:order val="795"/>
          <c:tx>
            <c:strRef>
              <c:f>'Summary stats'!$A$797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stats'!$A$797</c:f>
            </c:strRef>
          </c:xVal>
          <c:yVal>
            <c:numRef>
              <c:f>'Summary stats'!$B$797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6"/>
          <c:order val="796"/>
          <c:tx>
            <c:strRef>
              <c:f>'Summary stats'!$A$798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stats'!$A$798</c:f>
            </c:strRef>
          </c:xVal>
          <c:yVal>
            <c:numRef>
              <c:f>'Summary stats'!$B$798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7"/>
          <c:order val="797"/>
          <c:tx>
            <c:strRef>
              <c:f>'Summary stats'!$A$799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stats'!$A$799</c:f>
            </c:strRef>
          </c:xVal>
          <c:yVal>
            <c:numRef>
              <c:f>'Summary stats'!$B$799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8"/>
          <c:order val="798"/>
          <c:tx>
            <c:strRef>
              <c:f>'Summary stats'!$A$800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stats'!$A$800</c:f>
            </c:strRef>
          </c:xVal>
          <c:yVal>
            <c:numRef>
              <c:f>'Summary stats'!$B$800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799"/>
          <c:order val="799"/>
          <c:tx>
            <c:strRef>
              <c:f>'Summary stats'!$A$801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stats'!$A$801</c:f>
            </c:strRef>
          </c:xVal>
          <c:yVal>
            <c:numRef>
              <c:f>'Summary stats'!$B$801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0"/>
          <c:order val="800"/>
          <c:tx>
            <c:strRef>
              <c:f>'Summary stats'!$A$802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stats'!$A$802</c:f>
            </c:strRef>
          </c:xVal>
          <c:yVal>
            <c:numRef>
              <c:f>'Summary stats'!$B$802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1"/>
          <c:order val="801"/>
          <c:tx>
            <c:strRef>
              <c:f>'Summary stats'!$A$803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stats'!$A$803</c:f>
            </c:strRef>
          </c:xVal>
          <c:yVal>
            <c:numRef>
              <c:f>'Summary stats'!$B$803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2"/>
          <c:order val="802"/>
          <c:tx>
            <c:strRef>
              <c:f>'Summary stats'!$A$804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stats'!$A$804</c:f>
            </c:strRef>
          </c:xVal>
          <c:yVal>
            <c:numRef>
              <c:f>'Summary stats'!$B$804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3"/>
          <c:order val="803"/>
          <c:tx>
            <c:strRef>
              <c:f>'Summary stats'!$A$805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stats'!$A$805</c:f>
            </c:strRef>
          </c:xVal>
          <c:yVal>
            <c:numRef>
              <c:f>'Summary stats'!$B$805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4"/>
          <c:order val="804"/>
          <c:tx>
            <c:strRef>
              <c:f>'Summary stats'!$A$806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stats'!$A$806</c:f>
            </c:strRef>
          </c:xVal>
          <c:yVal>
            <c:numRef>
              <c:f>'Summary stats'!$B$806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5"/>
          <c:order val="805"/>
          <c:tx>
            <c:strRef>
              <c:f>'Summary stats'!$A$807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stats'!$A$807</c:f>
            </c:strRef>
          </c:xVal>
          <c:yVal>
            <c:numRef>
              <c:f>'Summary stats'!$B$807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6"/>
          <c:order val="806"/>
          <c:tx>
            <c:strRef>
              <c:f>'Summary stats'!$A$808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stats'!$A$808</c:f>
            </c:strRef>
          </c:xVal>
          <c:yVal>
            <c:numRef>
              <c:f>'Summary stats'!$B$808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7"/>
          <c:order val="807"/>
          <c:tx>
            <c:strRef>
              <c:f>'Summary stats'!$A$809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stats'!$A$809</c:f>
            </c:strRef>
          </c:xVal>
          <c:yVal>
            <c:numRef>
              <c:f>'Summary stats'!$B$809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8"/>
          <c:order val="808"/>
          <c:tx>
            <c:strRef>
              <c:f>'Summary stats'!$A$810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stats'!$A$810</c:f>
            </c:strRef>
          </c:xVal>
          <c:yVal>
            <c:numRef>
              <c:f>'Summary stats'!$B$810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09"/>
          <c:order val="809"/>
          <c:tx>
            <c:strRef>
              <c:f>'Summary stats'!$A$811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stats'!$A$811</c:f>
            </c:strRef>
          </c:xVal>
          <c:yVal>
            <c:numRef>
              <c:f>'Summary stats'!$B$811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0"/>
          <c:order val="810"/>
          <c:tx>
            <c:strRef>
              <c:f>'Summary stats'!$A$812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stats'!$A$812</c:f>
            </c:strRef>
          </c:xVal>
          <c:yVal>
            <c:numRef>
              <c:f>'Summary stats'!$B$812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1"/>
          <c:order val="811"/>
          <c:tx>
            <c:strRef>
              <c:f>'Summary stats'!$A$813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stats'!$A$813</c:f>
            </c:strRef>
          </c:xVal>
          <c:yVal>
            <c:numRef>
              <c:f>'Summary stats'!$B$813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2"/>
          <c:order val="812"/>
          <c:tx>
            <c:strRef>
              <c:f>'Summary stats'!$A$814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stats'!$A$814</c:f>
            </c:strRef>
          </c:xVal>
          <c:yVal>
            <c:numRef>
              <c:f>'Summary stats'!$B$814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3"/>
          <c:order val="813"/>
          <c:tx>
            <c:strRef>
              <c:f>'Summary stats'!$A$815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stats'!$A$815</c:f>
            </c:strRef>
          </c:xVal>
          <c:yVal>
            <c:numRef>
              <c:f>'Summary stats'!$B$815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4"/>
          <c:order val="814"/>
          <c:tx>
            <c:strRef>
              <c:f>'Summary stats'!$A$816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stats'!$A$816</c:f>
            </c:strRef>
          </c:xVal>
          <c:yVal>
            <c:numRef>
              <c:f>'Summary stats'!$B$816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5"/>
          <c:order val="815"/>
          <c:tx>
            <c:strRef>
              <c:f>'Summary stats'!$A$817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stats'!$A$817</c:f>
            </c:strRef>
          </c:xVal>
          <c:yVal>
            <c:numRef>
              <c:f>'Summary stats'!$B$817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6"/>
          <c:order val="816"/>
          <c:tx>
            <c:strRef>
              <c:f>'Summary stats'!$A$818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stats'!$A$818</c:f>
            </c:strRef>
          </c:xVal>
          <c:yVal>
            <c:numRef>
              <c:f>'Summary stats'!$B$818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7"/>
          <c:order val="817"/>
          <c:tx>
            <c:strRef>
              <c:f>'Summary stats'!$A$819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stats'!$A$819</c:f>
            </c:strRef>
          </c:xVal>
          <c:yVal>
            <c:numRef>
              <c:f>'Summary stats'!$B$819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8"/>
          <c:order val="818"/>
          <c:tx>
            <c:strRef>
              <c:f>'Summary stats'!$A$820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stats'!$A$820</c:f>
            </c:strRef>
          </c:xVal>
          <c:yVal>
            <c:numRef>
              <c:f>'Summary stats'!$B$820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19"/>
          <c:order val="819"/>
          <c:tx>
            <c:strRef>
              <c:f>'Summary stats'!$A$821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stats'!$A$821</c:f>
            </c:strRef>
          </c:xVal>
          <c:yVal>
            <c:numRef>
              <c:f>'Summary stats'!$B$821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0"/>
          <c:order val="820"/>
          <c:tx>
            <c:strRef>
              <c:f>'Summary stats'!$A$822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stats'!$A$822</c:f>
            </c:strRef>
          </c:xVal>
          <c:yVal>
            <c:numRef>
              <c:f>'Summary stats'!$B$822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1"/>
          <c:order val="821"/>
          <c:tx>
            <c:strRef>
              <c:f>'Summary stats'!$A$823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stats'!$A$823</c:f>
            </c:strRef>
          </c:xVal>
          <c:yVal>
            <c:numRef>
              <c:f>'Summary stats'!$B$823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2"/>
          <c:order val="822"/>
          <c:tx>
            <c:strRef>
              <c:f>'Summary stats'!$A$824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stats'!$A$824</c:f>
            </c:strRef>
          </c:xVal>
          <c:yVal>
            <c:numRef>
              <c:f>'Summary stats'!$B$824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3"/>
          <c:order val="823"/>
          <c:tx>
            <c:strRef>
              <c:f>'Summary stats'!$A$825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stats'!$A$825</c:f>
            </c:strRef>
          </c:xVal>
          <c:yVal>
            <c:numRef>
              <c:f>'Summary stats'!$B$825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4"/>
          <c:order val="824"/>
          <c:tx>
            <c:strRef>
              <c:f>'Summary stats'!$A$826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stats'!$A$826</c:f>
            </c:strRef>
          </c:xVal>
          <c:yVal>
            <c:numRef>
              <c:f>'Summary stats'!$B$826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5"/>
          <c:order val="825"/>
          <c:tx>
            <c:strRef>
              <c:f>'Summary stats'!$A$827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stats'!$A$827</c:f>
            </c:strRef>
          </c:xVal>
          <c:yVal>
            <c:numRef>
              <c:f>'Summary stats'!$B$827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6"/>
          <c:order val="826"/>
          <c:tx>
            <c:strRef>
              <c:f>'Summary stats'!$A$828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stats'!$A$828</c:f>
            </c:strRef>
          </c:xVal>
          <c:yVal>
            <c:numRef>
              <c:f>'Summary stats'!$B$828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7"/>
          <c:order val="827"/>
          <c:tx>
            <c:strRef>
              <c:f>'Summary stats'!$A$829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stats'!$A$829</c:f>
            </c:strRef>
          </c:xVal>
          <c:yVal>
            <c:numRef>
              <c:f>'Summary stats'!$B$829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8"/>
          <c:order val="828"/>
          <c:tx>
            <c:strRef>
              <c:f>'Summary stats'!$A$830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stats'!$A$830</c:f>
            </c:strRef>
          </c:xVal>
          <c:yVal>
            <c:numRef>
              <c:f>'Summary stats'!$B$830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29"/>
          <c:order val="829"/>
          <c:tx>
            <c:strRef>
              <c:f>'Summary stats'!$A$831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stats'!$A$831</c:f>
            </c:strRef>
          </c:xVal>
          <c:yVal>
            <c:numRef>
              <c:f>'Summary stats'!$B$831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0"/>
          <c:order val="830"/>
          <c:tx>
            <c:strRef>
              <c:f>'Summary stats'!$A$832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stats'!$A$832</c:f>
            </c:strRef>
          </c:xVal>
          <c:yVal>
            <c:numRef>
              <c:f>'Summary stats'!$B$832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1"/>
          <c:order val="831"/>
          <c:tx>
            <c:strRef>
              <c:f>'Summary stats'!$A$833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stats'!$A$833</c:f>
            </c:strRef>
          </c:xVal>
          <c:yVal>
            <c:numRef>
              <c:f>'Summary stats'!$B$833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2"/>
          <c:order val="832"/>
          <c:tx>
            <c:strRef>
              <c:f>'Summary stats'!$A$834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stats'!$A$834</c:f>
            </c:strRef>
          </c:xVal>
          <c:yVal>
            <c:numRef>
              <c:f>'Summary stats'!$B$834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3"/>
          <c:order val="833"/>
          <c:tx>
            <c:strRef>
              <c:f>'Summary stats'!$A$835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stats'!$A$835</c:f>
            </c:strRef>
          </c:xVal>
          <c:yVal>
            <c:numRef>
              <c:f>'Summary stats'!$B$835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4"/>
          <c:order val="834"/>
          <c:tx>
            <c:strRef>
              <c:f>'Summary stats'!$A$836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stats'!$A$836</c:f>
            </c:strRef>
          </c:xVal>
          <c:yVal>
            <c:numRef>
              <c:f>'Summary stats'!$B$836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5"/>
          <c:order val="835"/>
          <c:tx>
            <c:strRef>
              <c:f>'Summary stats'!$A$837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stats'!$A$837</c:f>
            </c:strRef>
          </c:xVal>
          <c:yVal>
            <c:numRef>
              <c:f>'Summary stats'!$B$837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6"/>
          <c:order val="836"/>
          <c:tx>
            <c:strRef>
              <c:f>'Summary stats'!$A$838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stats'!$A$838</c:f>
            </c:strRef>
          </c:xVal>
          <c:yVal>
            <c:numRef>
              <c:f>'Summary stats'!$B$838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7"/>
          <c:order val="837"/>
          <c:tx>
            <c:strRef>
              <c:f>'Summary stats'!$A$839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stats'!$A$839</c:f>
            </c:strRef>
          </c:xVal>
          <c:yVal>
            <c:numRef>
              <c:f>'Summary stats'!$B$839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8"/>
          <c:order val="838"/>
          <c:tx>
            <c:strRef>
              <c:f>'Summary stats'!$A$840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stats'!$A$840</c:f>
            </c:strRef>
          </c:xVal>
          <c:yVal>
            <c:numRef>
              <c:f>'Summary stats'!$B$840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39"/>
          <c:order val="839"/>
          <c:tx>
            <c:strRef>
              <c:f>'Summary stats'!$A$841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stats'!$A$841</c:f>
            </c:strRef>
          </c:xVal>
          <c:yVal>
            <c:numRef>
              <c:f>'Summary stats'!$B$841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0"/>
          <c:order val="840"/>
          <c:tx>
            <c:strRef>
              <c:f>'Summary stats'!$A$842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stats'!$A$842</c:f>
            </c:strRef>
          </c:xVal>
          <c:yVal>
            <c:numRef>
              <c:f>'Summary stats'!$B$842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1"/>
          <c:order val="841"/>
          <c:tx>
            <c:strRef>
              <c:f>'Summary stats'!$A$843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stats'!$A$843</c:f>
            </c:strRef>
          </c:xVal>
          <c:yVal>
            <c:numRef>
              <c:f>'Summary stats'!$B$843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2"/>
          <c:order val="842"/>
          <c:tx>
            <c:strRef>
              <c:f>'Summary stats'!$A$844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stats'!$A$844</c:f>
            </c:strRef>
          </c:xVal>
          <c:yVal>
            <c:numRef>
              <c:f>'Summary stats'!$B$844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3"/>
          <c:order val="843"/>
          <c:tx>
            <c:strRef>
              <c:f>'Summary stats'!$A$845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stats'!$A$845</c:f>
            </c:strRef>
          </c:xVal>
          <c:yVal>
            <c:numRef>
              <c:f>'Summary stats'!$B$845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4"/>
          <c:order val="844"/>
          <c:tx>
            <c:strRef>
              <c:f>'Summary stats'!$A$846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stats'!$A$846</c:f>
            </c:strRef>
          </c:xVal>
          <c:yVal>
            <c:numRef>
              <c:f>'Summary stats'!$B$846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5"/>
          <c:order val="845"/>
          <c:tx>
            <c:strRef>
              <c:f>'Summary stats'!$A$847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stats'!$A$847</c:f>
            </c:strRef>
          </c:xVal>
          <c:yVal>
            <c:numRef>
              <c:f>'Summary stats'!$B$847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6"/>
          <c:order val="846"/>
          <c:tx>
            <c:strRef>
              <c:f>'Summary stats'!$A$848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stats'!$A$848</c:f>
            </c:strRef>
          </c:xVal>
          <c:yVal>
            <c:numRef>
              <c:f>'Summary stats'!$B$848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7"/>
          <c:order val="847"/>
          <c:tx>
            <c:strRef>
              <c:f>'Summary stats'!$A$849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stats'!$A$849</c:f>
            </c:strRef>
          </c:xVal>
          <c:yVal>
            <c:numRef>
              <c:f>'Summary stats'!$B$849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8"/>
          <c:order val="848"/>
          <c:tx>
            <c:strRef>
              <c:f>'Summary stats'!$A$850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stats'!$A$850</c:f>
            </c:strRef>
          </c:xVal>
          <c:yVal>
            <c:numRef>
              <c:f>'Summary stats'!$B$850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49"/>
          <c:order val="849"/>
          <c:tx>
            <c:strRef>
              <c:f>'Summary stats'!$A$851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stats'!$A$851</c:f>
            </c:strRef>
          </c:xVal>
          <c:yVal>
            <c:numRef>
              <c:f>'Summary stats'!$B$851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0"/>
          <c:order val="850"/>
          <c:tx>
            <c:strRef>
              <c:f>'Summary stats'!$A$852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stats'!$A$852</c:f>
            </c:strRef>
          </c:xVal>
          <c:yVal>
            <c:numRef>
              <c:f>'Summary stats'!$B$852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1"/>
          <c:order val="851"/>
          <c:tx>
            <c:strRef>
              <c:f>'Summary stats'!$A$853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stats'!$A$853</c:f>
            </c:strRef>
          </c:xVal>
          <c:yVal>
            <c:numRef>
              <c:f>'Summary stats'!$B$853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2"/>
          <c:order val="852"/>
          <c:tx>
            <c:strRef>
              <c:f>'Summary stats'!$A$854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stats'!$A$854</c:f>
            </c:strRef>
          </c:xVal>
          <c:yVal>
            <c:numRef>
              <c:f>'Summary stats'!$B$854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3"/>
          <c:order val="853"/>
          <c:tx>
            <c:strRef>
              <c:f>'Summary stats'!$A$855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stats'!$A$855</c:f>
            </c:strRef>
          </c:xVal>
          <c:yVal>
            <c:numRef>
              <c:f>'Summary stats'!$B$855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4"/>
          <c:order val="854"/>
          <c:tx>
            <c:strRef>
              <c:f>'Summary stats'!$A$856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stats'!$A$856</c:f>
            </c:strRef>
          </c:xVal>
          <c:yVal>
            <c:numRef>
              <c:f>'Summary stats'!$B$856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5"/>
          <c:order val="855"/>
          <c:tx>
            <c:strRef>
              <c:f>'Summary stats'!$A$857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stats'!$A$857</c:f>
            </c:strRef>
          </c:xVal>
          <c:yVal>
            <c:numRef>
              <c:f>'Summary stats'!$B$857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6"/>
          <c:order val="856"/>
          <c:tx>
            <c:strRef>
              <c:f>'Summary stats'!$A$858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stats'!$A$858</c:f>
            </c:strRef>
          </c:xVal>
          <c:yVal>
            <c:numRef>
              <c:f>'Summary stats'!$B$858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7"/>
          <c:order val="857"/>
          <c:tx>
            <c:strRef>
              <c:f>'Summary stats'!$A$859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stats'!$A$859</c:f>
            </c:strRef>
          </c:xVal>
          <c:yVal>
            <c:numRef>
              <c:f>'Summary stats'!$B$859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8"/>
          <c:order val="858"/>
          <c:tx>
            <c:strRef>
              <c:f>'Summary stats'!$A$860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stats'!$A$860</c:f>
            </c:strRef>
          </c:xVal>
          <c:yVal>
            <c:numRef>
              <c:f>'Summary stats'!$B$860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59"/>
          <c:order val="859"/>
          <c:tx>
            <c:strRef>
              <c:f>'Summary stats'!$A$861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stats'!$A$861</c:f>
            </c:strRef>
          </c:xVal>
          <c:yVal>
            <c:numRef>
              <c:f>'Summary stats'!$B$861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0"/>
          <c:order val="860"/>
          <c:tx>
            <c:strRef>
              <c:f>'Summary stats'!$A$862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stats'!$A$862</c:f>
            </c:strRef>
          </c:xVal>
          <c:yVal>
            <c:numRef>
              <c:f>'Summary stats'!$B$862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1"/>
          <c:order val="861"/>
          <c:tx>
            <c:strRef>
              <c:f>'Summary stats'!$A$863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stats'!$A$863</c:f>
            </c:strRef>
          </c:xVal>
          <c:yVal>
            <c:numRef>
              <c:f>'Summary stats'!$B$863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2"/>
          <c:order val="862"/>
          <c:tx>
            <c:strRef>
              <c:f>'Summary stats'!$A$864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stats'!$A$864</c:f>
            </c:strRef>
          </c:xVal>
          <c:yVal>
            <c:numRef>
              <c:f>'Summary stats'!$B$864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3"/>
          <c:order val="863"/>
          <c:tx>
            <c:strRef>
              <c:f>'Summary stats'!$A$865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stats'!$A$865</c:f>
            </c:strRef>
          </c:xVal>
          <c:yVal>
            <c:numRef>
              <c:f>'Summary stats'!$B$865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4"/>
          <c:order val="864"/>
          <c:tx>
            <c:strRef>
              <c:f>'Summary stats'!$A$866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stats'!$A$866</c:f>
            </c:strRef>
          </c:xVal>
          <c:yVal>
            <c:numRef>
              <c:f>'Summary stats'!$B$866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5"/>
          <c:order val="865"/>
          <c:tx>
            <c:strRef>
              <c:f>'Summary stats'!$A$867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stats'!$A$867</c:f>
            </c:strRef>
          </c:xVal>
          <c:yVal>
            <c:numRef>
              <c:f>'Summary stats'!$B$867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6"/>
          <c:order val="866"/>
          <c:tx>
            <c:strRef>
              <c:f>'Summary stats'!$A$868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stats'!$A$868</c:f>
            </c:strRef>
          </c:xVal>
          <c:yVal>
            <c:numRef>
              <c:f>'Summary stats'!$B$868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7"/>
          <c:order val="867"/>
          <c:tx>
            <c:strRef>
              <c:f>'Summary stats'!$A$869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stats'!$A$869</c:f>
            </c:strRef>
          </c:xVal>
          <c:yVal>
            <c:numRef>
              <c:f>'Summary stats'!$B$869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8"/>
          <c:order val="868"/>
          <c:tx>
            <c:strRef>
              <c:f>'Summary stats'!$A$870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stats'!$A$870</c:f>
            </c:strRef>
          </c:xVal>
          <c:yVal>
            <c:numRef>
              <c:f>'Summary stats'!$B$870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69"/>
          <c:order val="869"/>
          <c:tx>
            <c:strRef>
              <c:f>'Summary stats'!$A$871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stats'!$A$871</c:f>
            </c:strRef>
          </c:xVal>
          <c:yVal>
            <c:numRef>
              <c:f>'Summary stats'!$B$871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0"/>
          <c:order val="870"/>
          <c:tx>
            <c:strRef>
              <c:f>'Summary stats'!$A$872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stats'!$A$872</c:f>
            </c:strRef>
          </c:xVal>
          <c:yVal>
            <c:numRef>
              <c:f>'Summary stats'!$B$872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1"/>
          <c:order val="871"/>
          <c:tx>
            <c:strRef>
              <c:f>'Summary stats'!$A$873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stats'!$A$873</c:f>
            </c:strRef>
          </c:xVal>
          <c:yVal>
            <c:numRef>
              <c:f>'Summary stats'!$B$873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2"/>
          <c:order val="872"/>
          <c:tx>
            <c:strRef>
              <c:f>'Summary stats'!$A$874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stats'!$A$874</c:f>
            </c:strRef>
          </c:xVal>
          <c:yVal>
            <c:numRef>
              <c:f>'Summary stats'!$B$874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3"/>
          <c:order val="873"/>
          <c:tx>
            <c:strRef>
              <c:f>'Summary stats'!$A$875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stats'!$A$875</c:f>
            </c:strRef>
          </c:xVal>
          <c:yVal>
            <c:numRef>
              <c:f>'Summary stats'!$B$875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4"/>
          <c:order val="874"/>
          <c:tx>
            <c:strRef>
              <c:f>'Summary stats'!$A$876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stats'!$A$876</c:f>
            </c:strRef>
          </c:xVal>
          <c:yVal>
            <c:numRef>
              <c:f>'Summary stats'!$B$876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5"/>
          <c:order val="875"/>
          <c:tx>
            <c:strRef>
              <c:f>'Summary stats'!$A$877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stats'!$A$877</c:f>
            </c:strRef>
          </c:xVal>
          <c:yVal>
            <c:numRef>
              <c:f>'Summary stats'!$B$877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6"/>
          <c:order val="876"/>
          <c:tx>
            <c:strRef>
              <c:f>'Summary stats'!$A$878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stats'!$A$878</c:f>
            </c:strRef>
          </c:xVal>
          <c:yVal>
            <c:numRef>
              <c:f>'Summary stats'!$B$878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7"/>
          <c:order val="877"/>
          <c:tx>
            <c:strRef>
              <c:f>'Summary stats'!$A$879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stats'!$A$879</c:f>
            </c:strRef>
          </c:xVal>
          <c:yVal>
            <c:numRef>
              <c:f>'Summary stats'!$B$879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8"/>
          <c:order val="878"/>
          <c:tx>
            <c:strRef>
              <c:f>'Summary stats'!$A$880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stats'!$A$880</c:f>
            </c:strRef>
          </c:xVal>
          <c:yVal>
            <c:numRef>
              <c:f>'Summary stats'!$B$880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79"/>
          <c:order val="879"/>
          <c:tx>
            <c:strRef>
              <c:f>'Summary stats'!$A$881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stats'!$A$881</c:f>
            </c:strRef>
          </c:xVal>
          <c:yVal>
            <c:numRef>
              <c:f>'Summary stats'!$B$881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0"/>
          <c:order val="880"/>
          <c:tx>
            <c:strRef>
              <c:f>'Summary stats'!$A$882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stats'!$A$882</c:f>
            </c:strRef>
          </c:xVal>
          <c:yVal>
            <c:numRef>
              <c:f>'Summary stats'!$B$882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1"/>
          <c:order val="881"/>
          <c:tx>
            <c:strRef>
              <c:f>'Summary stats'!$A$883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stats'!$A$883</c:f>
            </c:strRef>
          </c:xVal>
          <c:yVal>
            <c:numRef>
              <c:f>'Summary stats'!$B$883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2"/>
          <c:order val="882"/>
          <c:tx>
            <c:strRef>
              <c:f>'Summary stats'!$A$884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stats'!$A$884</c:f>
            </c:strRef>
          </c:xVal>
          <c:yVal>
            <c:numRef>
              <c:f>'Summary stats'!$B$884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3"/>
          <c:order val="883"/>
          <c:tx>
            <c:strRef>
              <c:f>'Summary stats'!$A$885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stats'!$A$885</c:f>
            </c:strRef>
          </c:xVal>
          <c:yVal>
            <c:numRef>
              <c:f>'Summary stats'!$B$885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4"/>
          <c:order val="884"/>
          <c:tx>
            <c:strRef>
              <c:f>'Summary stats'!$A$886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stats'!$A$886</c:f>
            </c:strRef>
          </c:xVal>
          <c:yVal>
            <c:numRef>
              <c:f>'Summary stats'!$B$886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5"/>
          <c:order val="885"/>
          <c:tx>
            <c:strRef>
              <c:f>'Summary stats'!$A$887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stats'!$A$887</c:f>
            </c:strRef>
          </c:xVal>
          <c:yVal>
            <c:numRef>
              <c:f>'Summary stats'!$B$887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6"/>
          <c:order val="886"/>
          <c:tx>
            <c:strRef>
              <c:f>'Summary stats'!$A$888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stats'!$A$888</c:f>
            </c:strRef>
          </c:xVal>
          <c:yVal>
            <c:numRef>
              <c:f>'Summary stats'!$B$888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7"/>
          <c:order val="887"/>
          <c:tx>
            <c:strRef>
              <c:f>'Summary stats'!$A$889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stats'!$A$889</c:f>
            </c:strRef>
          </c:xVal>
          <c:yVal>
            <c:numRef>
              <c:f>'Summary stats'!$B$889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8"/>
          <c:order val="888"/>
          <c:tx>
            <c:strRef>
              <c:f>'Summary stats'!$A$890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stats'!$A$890</c:f>
            </c:strRef>
          </c:xVal>
          <c:yVal>
            <c:numRef>
              <c:f>'Summary stats'!$B$890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89"/>
          <c:order val="889"/>
          <c:tx>
            <c:strRef>
              <c:f>'Summary stats'!$A$891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stats'!$A$891</c:f>
            </c:strRef>
          </c:xVal>
          <c:yVal>
            <c:numRef>
              <c:f>'Summary stats'!$B$891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0"/>
          <c:order val="890"/>
          <c:tx>
            <c:strRef>
              <c:f>'Summary stats'!$A$892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stats'!$A$892</c:f>
            </c:strRef>
          </c:xVal>
          <c:yVal>
            <c:numRef>
              <c:f>'Summary stats'!$B$892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1"/>
          <c:order val="891"/>
          <c:tx>
            <c:strRef>
              <c:f>'Summary stats'!$A$893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stats'!$A$893</c:f>
            </c:strRef>
          </c:xVal>
          <c:yVal>
            <c:numRef>
              <c:f>'Summary stats'!$B$893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2"/>
          <c:order val="892"/>
          <c:tx>
            <c:strRef>
              <c:f>'Summary stats'!$A$894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stats'!$A$894</c:f>
            </c:strRef>
          </c:xVal>
          <c:yVal>
            <c:numRef>
              <c:f>'Summary stats'!$B$894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3"/>
          <c:order val="893"/>
          <c:tx>
            <c:strRef>
              <c:f>'Summary stats'!$A$895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stats'!$A$895</c:f>
            </c:strRef>
          </c:xVal>
          <c:yVal>
            <c:numRef>
              <c:f>'Summary stats'!$B$895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4"/>
          <c:order val="894"/>
          <c:tx>
            <c:strRef>
              <c:f>'Summary stats'!$A$896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stats'!$A$896</c:f>
            </c:strRef>
          </c:xVal>
          <c:yVal>
            <c:numRef>
              <c:f>'Summary stats'!$B$896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5"/>
          <c:order val="895"/>
          <c:tx>
            <c:strRef>
              <c:f>'Summary stats'!$A$897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stats'!$A$897</c:f>
            </c:strRef>
          </c:xVal>
          <c:yVal>
            <c:numRef>
              <c:f>'Summary stats'!$B$897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6"/>
          <c:order val="896"/>
          <c:tx>
            <c:strRef>
              <c:f>'Summary stats'!$A$898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stats'!$A$898</c:f>
            </c:strRef>
          </c:xVal>
          <c:yVal>
            <c:numRef>
              <c:f>'Summary stats'!$B$898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7"/>
          <c:order val="897"/>
          <c:tx>
            <c:strRef>
              <c:f>'Summary stats'!$A$899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stats'!$A$899</c:f>
            </c:strRef>
          </c:xVal>
          <c:yVal>
            <c:numRef>
              <c:f>'Summary stats'!$B$899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8"/>
          <c:order val="898"/>
          <c:tx>
            <c:strRef>
              <c:f>'Summary stats'!$A$900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stats'!$A$900</c:f>
            </c:strRef>
          </c:xVal>
          <c:yVal>
            <c:numRef>
              <c:f>'Summary stats'!$B$900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899"/>
          <c:order val="899"/>
          <c:tx>
            <c:strRef>
              <c:f>'Summary stats'!$A$901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stats'!$A$901</c:f>
            </c:strRef>
          </c:xVal>
          <c:yVal>
            <c:numRef>
              <c:f>'Summary stats'!$B$901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0"/>
          <c:order val="900"/>
          <c:tx>
            <c:strRef>
              <c:f>'Summary stats'!$A$902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stats'!$A$902</c:f>
            </c:strRef>
          </c:xVal>
          <c:yVal>
            <c:numRef>
              <c:f>'Summary stats'!$B$902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1"/>
          <c:order val="901"/>
          <c:tx>
            <c:strRef>
              <c:f>'Summary stats'!$A$903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stats'!$A$903</c:f>
            </c:strRef>
          </c:xVal>
          <c:yVal>
            <c:numRef>
              <c:f>'Summary stats'!$B$903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2"/>
          <c:order val="902"/>
          <c:tx>
            <c:strRef>
              <c:f>'Summary stats'!$A$904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stats'!$A$904</c:f>
            </c:strRef>
          </c:xVal>
          <c:yVal>
            <c:numRef>
              <c:f>'Summary stats'!$B$904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3"/>
          <c:order val="903"/>
          <c:tx>
            <c:strRef>
              <c:f>'Summary stats'!$A$905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stats'!$A$905</c:f>
            </c:strRef>
          </c:xVal>
          <c:yVal>
            <c:numRef>
              <c:f>'Summary stats'!$B$905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4"/>
          <c:order val="904"/>
          <c:tx>
            <c:strRef>
              <c:f>'Summary stats'!$A$906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stats'!$A$906</c:f>
            </c:strRef>
          </c:xVal>
          <c:yVal>
            <c:numRef>
              <c:f>'Summary stats'!$B$906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5"/>
          <c:order val="905"/>
          <c:tx>
            <c:strRef>
              <c:f>'Summary stats'!$A$907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stats'!$A$907</c:f>
            </c:strRef>
          </c:xVal>
          <c:yVal>
            <c:numRef>
              <c:f>'Summary stats'!$B$907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6"/>
          <c:order val="906"/>
          <c:tx>
            <c:strRef>
              <c:f>'Summary stats'!$A$908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stats'!$A$908</c:f>
            </c:strRef>
          </c:xVal>
          <c:yVal>
            <c:numRef>
              <c:f>'Summary stats'!$B$908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7"/>
          <c:order val="907"/>
          <c:tx>
            <c:strRef>
              <c:f>'Summary stats'!$A$909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stats'!$A$909</c:f>
            </c:strRef>
          </c:xVal>
          <c:yVal>
            <c:numRef>
              <c:f>'Summary stats'!$B$909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8"/>
          <c:order val="908"/>
          <c:tx>
            <c:strRef>
              <c:f>'Summary stats'!$A$910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stats'!$A$910</c:f>
            </c:strRef>
          </c:xVal>
          <c:yVal>
            <c:numRef>
              <c:f>'Summary stats'!$B$910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09"/>
          <c:order val="909"/>
          <c:tx>
            <c:strRef>
              <c:f>'Summary stats'!$A$911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stats'!$A$911</c:f>
            </c:strRef>
          </c:xVal>
          <c:yVal>
            <c:numRef>
              <c:f>'Summary stats'!$B$911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0"/>
          <c:order val="910"/>
          <c:tx>
            <c:strRef>
              <c:f>'Summary stats'!$A$912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stats'!$A$912</c:f>
            </c:strRef>
          </c:xVal>
          <c:yVal>
            <c:numRef>
              <c:f>'Summary stats'!$B$912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1"/>
          <c:order val="911"/>
          <c:tx>
            <c:strRef>
              <c:f>'Summary stats'!$A$913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stats'!$A$913</c:f>
            </c:strRef>
          </c:xVal>
          <c:yVal>
            <c:numRef>
              <c:f>'Summary stats'!$B$913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2"/>
          <c:order val="912"/>
          <c:tx>
            <c:strRef>
              <c:f>'Summary stats'!$A$914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stats'!$A$914</c:f>
            </c:strRef>
          </c:xVal>
          <c:yVal>
            <c:numRef>
              <c:f>'Summary stats'!$B$914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3"/>
          <c:order val="913"/>
          <c:tx>
            <c:strRef>
              <c:f>'Summary stats'!$A$915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stats'!$A$915</c:f>
            </c:strRef>
          </c:xVal>
          <c:yVal>
            <c:numRef>
              <c:f>'Summary stats'!$B$915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4"/>
          <c:order val="914"/>
          <c:tx>
            <c:strRef>
              <c:f>'Summary stats'!$A$916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stats'!$A$916</c:f>
            </c:strRef>
          </c:xVal>
          <c:yVal>
            <c:numRef>
              <c:f>'Summary stats'!$B$916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5"/>
          <c:order val="915"/>
          <c:tx>
            <c:strRef>
              <c:f>'Summary stats'!$A$917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stats'!$A$917</c:f>
            </c:strRef>
          </c:xVal>
          <c:yVal>
            <c:numRef>
              <c:f>'Summary stats'!$B$917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6"/>
          <c:order val="916"/>
          <c:tx>
            <c:strRef>
              <c:f>'Summary stats'!$A$918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stats'!$A$918</c:f>
            </c:strRef>
          </c:xVal>
          <c:yVal>
            <c:numRef>
              <c:f>'Summary stats'!$B$918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7"/>
          <c:order val="917"/>
          <c:tx>
            <c:strRef>
              <c:f>'Summary stats'!$A$919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stats'!$A$919</c:f>
            </c:strRef>
          </c:xVal>
          <c:yVal>
            <c:numRef>
              <c:f>'Summary stats'!$B$919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8"/>
          <c:order val="918"/>
          <c:tx>
            <c:strRef>
              <c:f>'Summary stats'!$A$920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stats'!$A$920</c:f>
            </c:strRef>
          </c:xVal>
          <c:yVal>
            <c:numRef>
              <c:f>'Summary stats'!$B$920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19"/>
          <c:order val="919"/>
          <c:tx>
            <c:strRef>
              <c:f>'Summary stats'!$A$921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stats'!$A$921</c:f>
            </c:strRef>
          </c:xVal>
          <c:yVal>
            <c:numRef>
              <c:f>'Summary stats'!$B$921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0"/>
          <c:order val="920"/>
          <c:tx>
            <c:strRef>
              <c:f>'Summary stats'!$A$922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stats'!$A$922</c:f>
            </c:strRef>
          </c:xVal>
          <c:yVal>
            <c:numRef>
              <c:f>'Summary stats'!$B$922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1"/>
          <c:order val="921"/>
          <c:tx>
            <c:strRef>
              <c:f>'Summary stats'!$A$923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stats'!$A$923</c:f>
            </c:strRef>
          </c:xVal>
          <c:yVal>
            <c:numRef>
              <c:f>'Summary stats'!$B$923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2"/>
          <c:order val="922"/>
          <c:tx>
            <c:strRef>
              <c:f>'Summary stats'!$A$924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stats'!$A$924</c:f>
            </c:strRef>
          </c:xVal>
          <c:yVal>
            <c:numRef>
              <c:f>'Summary stats'!$B$924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3"/>
          <c:order val="923"/>
          <c:tx>
            <c:strRef>
              <c:f>'Summary stats'!$A$925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stats'!$A$925</c:f>
            </c:strRef>
          </c:xVal>
          <c:yVal>
            <c:numRef>
              <c:f>'Summary stats'!$B$925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4"/>
          <c:order val="924"/>
          <c:tx>
            <c:strRef>
              <c:f>'Summary stats'!$A$926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stats'!$A$926</c:f>
            </c:strRef>
          </c:xVal>
          <c:yVal>
            <c:numRef>
              <c:f>'Summary stats'!$B$926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5"/>
          <c:order val="925"/>
          <c:tx>
            <c:strRef>
              <c:f>'Summary stats'!$A$927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stats'!$A$927</c:f>
            </c:strRef>
          </c:xVal>
          <c:yVal>
            <c:numRef>
              <c:f>'Summary stats'!$B$927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6"/>
          <c:order val="926"/>
          <c:tx>
            <c:strRef>
              <c:f>'Summary stats'!$A$928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stats'!$A$928</c:f>
            </c:strRef>
          </c:xVal>
          <c:yVal>
            <c:numRef>
              <c:f>'Summary stats'!$B$928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7"/>
          <c:order val="927"/>
          <c:tx>
            <c:strRef>
              <c:f>'Summary stats'!$A$929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stats'!$A$929</c:f>
            </c:strRef>
          </c:xVal>
          <c:yVal>
            <c:numRef>
              <c:f>'Summary stats'!$B$929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8"/>
          <c:order val="928"/>
          <c:tx>
            <c:strRef>
              <c:f>'Summary stats'!$A$930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stats'!$A$930</c:f>
            </c:strRef>
          </c:xVal>
          <c:yVal>
            <c:numRef>
              <c:f>'Summary stats'!$B$930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29"/>
          <c:order val="929"/>
          <c:tx>
            <c:strRef>
              <c:f>'Summary stats'!$A$931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stats'!$A$931</c:f>
            </c:strRef>
          </c:xVal>
          <c:yVal>
            <c:numRef>
              <c:f>'Summary stats'!$B$931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0"/>
          <c:order val="930"/>
          <c:tx>
            <c:strRef>
              <c:f>'Summary stats'!$A$932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stats'!$A$932</c:f>
            </c:strRef>
          </c:xVal>
          <c:yVal>
            <c:numRef>
              <c:f>'Summary stats'!$B$932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1"/>
          <c:order val="931"/>
          <c:tx>
            <c:strRef>
              <c:f>'Summary stats'!$A$933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stats'!$A$933</c:f>
            </c:strRef>
          </c:xVal>
          <c:yVal>
            <c:numRef>
              <c:f>'Summary stats'!$B$933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2"/>
          <c:order val="932"/>
          <c:tx>
            <c:strRef>
              <c:f>'Summary stats'!$A$934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stats'!$A$934</c:f>
            </c:strRef>
          </c:xVal>
          <c:yVal>
            <c:numRef>
              <c:f>'Summary stats'!$B$934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3"/>
          <c:order val="933"/>
          <c:tx>
            <c:strRef>
              <c:f>'Summary stats'!$A$935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stats'!$A$935</c:f>
            </c:strRef>
          </c:xVal>
          <c:yVal>
            <c:numRef>
              <c:f>'Summary stats'!$B$935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4"/>
          <c:order val="934"/>
          <c:tx>
            <c:strRef>
              <c:f>'Summary stats'!$A$936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stats'!$A$936</c:f>
            </c:strRef>
          </c:xVal>
          <c:yVal>
            <c:numRef>
              <c:f>'Summary stats'!$B$936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5"/>
          <c:order val="935"/>
          <c:tx>
            <c:strRef>
              <c:f>'Summary stats'!$A$937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stats'!$A$937</c:f>
            </c:strRef>
          </c:xVal>
          <c:yVal>
            <c:numRef>
              <c:f>'Summary stats'!$B$937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6"/>
          <c:order val="936"/>
          <c:tx>
            <c:strRef>
              <c:f>'Summary stats'!$A$938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stats'!$A$938</c:f>
            </c:strRef>
          </c:xVal>
          <c:yVal>
            <c:numRef>
              <c:f>'Summary stats'!$B$938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7"/>
          <c:order val="937"/>
          <c:tx>
            <c:strRef>
              <c:f>'Summary stats'!$A$939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stats'!$A$939</c:f>
            </c:strRef>
          </c:xVal>
          <c:yVal>
            <c:numRef>
              <c:f>'Summary stats'!$B$939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8"/>
          <c:order val="938"/>
          <c:tx>
            <c:strRef>
              <c:f>'Summary stats'!$A$940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stats'!$A$940</c:f>
            </c:strRef>
          </c:xVal>
          <c:yVal>
            <c:numRef>
              <c:f>'Summary stats'!$B$940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39"/>
          <c:order val="939"/>
          <c:tx>
            <c:strRef>
              <c:f>'Summary stats'!$A$941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stats'!$A$941</c:f>
            </c:strRef>
          </c:xVal>
          <c:yVal>
            <c:numRef>
              <c:f>'Summary stats'!$B$941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0"/>
          <c:order val="940"/>
          <c:tx>
            <c:strRef>
              <c:f>'Summary stats'!$A$942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stats'!$A$942</c:f>
            </c:strRef>
          </c:xVal>
          <c:yVal>
            <c:numRef>
              <c:f>'Summary stats'!$B$942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1"/>
          <c:order val="941"/>
          <c:tx>
            <c:strRef>
              <c:f>'Summary stats'!$A$943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stats'!$A$943</c:f>
            </c:strRef>
          </c:xVal>
          <c:yVal>
            <c:numRef>
              <c:f>'Summary stats'!$B$943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2"/>
          <c:order val="942"/>
          <c:tx>
            <c:strRef>
              <c:f>'Summary stats'!$A$944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stats'!$A$944</c:f>
            </c:strRef>
          </c:xVal>
          <c:yVal>
            <c:numRef>
              <c:f>'Summary stats'!$B$944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3"/>
          <c:order val="943"/>
          <c:tx>
            <c:strRef>
              <c:f>'Summary stats'!$A$945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stats'!$A$945</c:f>
            </c:strRef>
          </c:xVal>
          <c:yVal>
            <c:numRef>
              <c:f>'Summary stats'!$B$945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4"/>
          <c:order val="944"/>
          <c:tx>
            <c:strRef>
              <c:f>'Summary stats'!$A$946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stats'!$A$946</c:f>
            </c:strRef>
          </c:xVal>
          <c:yVal>
            <c:numRef>
              <c:f>'Summary stats'!$B$946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5"/>
          <c:order val="945"/>
          <c:tx>
            <c:strRef>
              <c:f>'Summary stats'!$A$947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stats'!$A$947</c:f>
            </c:strRef>
          </c:xVal>
          <c:yVal>
            <c:numRef>
              <c:f>'Summary stats'!$B$947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6"/>
          <c:order val="946"/>
          <c:tx>
            <c:strRef>
              <c:f>'Summary stats'!$A$948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stats'!$A$948</c:f>
            </c:strRef>
          </c:xVal>
          <c:yVal>
            <c:numRef>
              <c:f>'Summary stats'!$B$948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7"/>
          <c:order val="947"/>
          <c:tx>
            <c:strRef>
              <c:f>'Summary stats'!$A$949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stats'!$A$949</c:f>
            </c:strRef>
          </c:xVal>
          <c:yVal>
            <c:numRef>
              <c:f>'Summary stats'!$B$949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8"/>
          <c:order val="948"/>
          <c:tx>
            <c:strRef>
              <c:f>'Summary stats'!$A$950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stats'!$A$950</c:f>
            </c:strRef>
          </c:xVal>
          <c:yVal>
            <c:numRef>
              <c:f>'Summary stats'!$B$950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49"/>
          <c:order val="949"/>
          <c:tx>
            <c:strRef>
              <c:f>'Summary stats'!$A$951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stats'!$A$951</c:f>
            </c:strRef>
          </c:xVal>
          <c:yVal>
            <c:numRef>
              <c:f>'Summary stats'!$B$951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0"/>
          <c:order val="950"/>
          <c:tx>
            <c:strRef>
              <c:f>'Summary stats'!$A$952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stats'!$A$952</c:f>
            </c:strRef>
          </c:xVal>
          <c:yVal>
            <c:numRef>
              <c:f>'Summary stats'!$B$952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1"/>
          <c:order val="951"/>
          <c:tx>
            <c:strRef>
              <c:f>'Summary stats'!$A$953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stats'!$A$953</c:f>
            </c:strRef>
          </c:xVal>
          <c:yVal>
            <c:numRef>
              <c:f>'Summary stats'!$B$953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2"/>
          <c:order val="952"/>
          <c:tx>
            <c:strRef>
              <c:f>'Summary stats'!$A$954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stats'!$A$954</c:f>
            </c:strRef>
          </c:xVal>
          <c:yVal>
            <c:numRef>
              <c:f>'Summary stats'!$B$954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3"/>
          <c:order val="953"/>
          <c:tx>
            <c:strRef>
              <c:f>'Summary stats'!$A$955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stats'!$A$955</c:f>
            </c:strRef>
          </c:xVal>
          <c:yVal>
            <c:numRef>
              <c:f>'Summary stats'!$B$955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4"/>
          <c:order val="954"/>
          <c:tx>
            <c:strRef>
              <c:f>'Summary stats'!$A$956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stats'!$A$956</c:f>
            </c:strRef>
          </c:xVal>
          <c:yVal>
            <c:numRef>
              <c:f>'Summary stats'!$B$956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5"/>
          <c:order val="955"/>
          <c:tx>
            <c:strRef>
              <c:f>'Summary stats'!$A$957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stats'!$A$957</c:f>
            </c:strRef>
          </c:xVal>
          <c:yVal>
            <c:numRef>
              <c:f>'Summary stats'!$B$957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6"/>
          <c:order val="956"/>
          <c:tx>
            <c:strRef>
              <c:f>'Summary stats'!$A$958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stats'!$A$958</c:f>
            </c:strRef>
          </c:xVal>
          <c:yVal>
            <c:numRef>
              <c:f>'Summary stats'!$B$958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7"/>
          <c:order val="957"/>
          <c:tx>
            <c:strRef>
              <c:f>'Summary stats'!$A$959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stats'!$A$959</c:f>
            </c:strRef>
          </c:xVal>
          <c:yVal>
            <c:numRef>
              <c:f>'Summary stats'!$B$959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8"/>
          <c:order val="958"/>
          <c:tx>
            <c:strRef>
              <c:f>'Summary stats'!$A$960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stats'!$A$960</c:f>
            </c:strRef>
          </c:xVal>
          <c:yVal>
            <c:numRef>
              <c:f>'Summary stats'!$B$960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59"/>
          <c:order val="959"/>
          <c:tx>
            <c:strRef>
              <c:f>'Summary stats'!$A$961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stats'!$A$961</c:f>
            </c:strRef>
          </c:xVal>
          <c:yVal>
            <c:numRef>
              <c:f>'Summary stats'!$B$961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0"/>
          <c:order val="960"/>
          <c:tx>
            <c:strRef>
              <c:f>'Summary stats'!$A$962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stats'!$A$962</c:f>
            </c:strRef>
          </c:xVal>
          <c:yVal>
            <c:numRef>
              <c:f>'Summary stats'!$B$962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1"/>
          <c:order val="961"/>
          <c:tx>
            <c:strRef>
              <c:f>'Summary stats'!$A$963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stats'!$A$963</c:f>
            </c:strRef>
          </c:xVal>
          <c:yVal>
            <c:numRef>
              <c:f>'Summary stats'!$B$963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2"/>
          <c:order val="962"/>
          <c:tx>
            <c:strRef>
              <c:f>'Summary stats'!$A$964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stats'!$A$964</c:f>
            </c:strRef>
          </c:xVal>
          <c:yVal>
            <c:numRef>
              <c:f>'Summary stats'!$B$964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3"/>
          <c:order val="963"/>
          <c:tx>
            <c:strRef>
              <c:f>'Summary stats'!$A$965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stats'!$A$965</c:f>
            </c:strRef>
          </c:xVal>
          <c:yVal>
            <c:numRef>
              <c:f>'Summary stats'!$B$965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4"/>
          <c:order val="964"/>
          <c:tx>
            <c:strRef>
              <c:f>'Summary stats'!$A$966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stats'!$A$966</c:f>
            </c:strRef>
          </c:xVal>
          <c:yVal>
            <c:numRef>
              <c:f>'Summary stats'!$B$966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5"/>
          <c:order val="965"/>
          <c:tx>
            <c:strRef>
              <c:f>'Summary stats'!$A$967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stats'!$A$967</c:f>
            </c:strRef>
          </c:xVal>
          <c:yVal>
            <c:numRef>
              <c:f>'Summary stats'!$B$967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6"/>
          <c:order val="966"/>
          <c:tx>
            <c:strRef>
              <c:f>'Summary stats'!$A$968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stats'!$A$968</c:f>
            </c:strRef>
          </c:xVal>
          <c:yVal>
            <c:numRef>
              <c:f>'Summary stats'!$B$968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7"/>
          <c:order val="967"/>
          <c:tx>
            <c:strRef>
              <c:f>'Summary stats'!$A$969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stats'!$A$969</c:f>
            </c:strRef>
          </c:xVal>
          <c:yVal>
            <c:numRef>
              <c:f>'Summary stats'!$B$969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8"/>
          <c:order val="968"/>
          <c:tx>
            <c:strRef>
              <c:f>'Summary stats'!$A$970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stats'!$A$970</c:f>
            </c:strRef>
          </c:xVal>
          <c:yVal>
            <c:numRef>
              <c:f>'Summary stats'!$B$970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69"/>
          <c:order val="969"/>
          <c:tx>
            <c:strRef>
              <c:f>'Summary stats'!$A$971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stats'!$A$971</c:f>
            </c:strRef>
          </c:xVal>
          <c:yVal>
            <c:numRef>
              <c:f>'Summary stats'!$B$971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0"/>
          <c:order val="970"/>
          <c:tx>
            <c:strRef>
              <c:f>'Summary stats'!$A$972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stats'!$A$972</c:f>
            </c:strRef>
          </c:xVal>
          <c:yVal>
            <c:numRef>
              <c:f>'Summary stats'!$B$972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1"/>
          <c:order val="971"/>
          <c:tx>
            <c:strRef>
              <c:f>'Summary stats'!$A$973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stats'!$A$973</c:f>
            </c:strRef>
          </c:xVal>
          <c:yVal>
            <c:numRef>
              <c:f>'Summary stats'!$B$973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2"/>
          <c:order val="972"/>
          <c:tx>
            <c:strRef>
              <c:f>'Summary stats'!$A$974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stats'!$A$974</c:f>
            </c:strRef>
          </c:xVal>
          <c:yVal>
            <c:numRef>
              <c:f>'Summary stats'!$B$974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3"/>
          <c:order val="973"/>
          <c:tx>
            <c:strRef>
              <c:f>'Summary stats'!$A$975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stats'!$A$975</c:f>
            </c:strRef>
          </c:xVal>
          <c:yVal>
            <c:numRef>
              <c:f>'Summary stats'!$B$975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4"/>
          <c:order val="974"/>
          <c:tx>
            <c:strRef>
              <c:f>'Summary stats'!$A$976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stats'!$A$976</c:f>
            </c:strRef>
          </c:xVal>
          <c:yVal>
            <c:numRef>
              <c:f>'Summary stats'!$B$976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5"/>
          <c:order val="975"/>
          <c:tx>
            <c:strRef>
              <c:f>'Summary stats'!$A$977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stats'!$A$977</c:f>
            </c:strRef>
          </c:xVal>
          <c:yVal>
            <c:numRef>
              <c:f>'Summary stats'!$B$977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6"/>
          <c:order val="976"/>
          <c:tx>
            <c:strRef>
              <c:f>'Summary stats'!$A$978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stats'!$A$978</c:f>
            </c:strRef>
          </c:xVal>
          <c:yVal>
            <c:numRef>
              <c:f>'Summary stats'!$B$978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7"/>
          <c:order val="977"/>
          <c:tx>
            <c:strRef>
              <c:f>'Summary stats'!$A$979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stats'!$A$979</c:f>
            </c:strRef>
          </c:xVal>
          <c:yVal>
            <c:numRef>
              <c:f>'Summary stats'!$B$979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8"/>
          <c:order val="978"/>
          <c:tx>
            <c:strRef>
              <c:f>'Summary stats'!$A$980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stats'!$A$980</c:f>
            </c:strRef>
          </c:xVal>
          <c:yVal>
            <c:numRef>
              <c:f>'Summary stats'!$B$980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79"/>
          <c:order val="979"/>
          <c:tx>
            <c:strRef>
              <c:f>'Summary stats'!$A$981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stats'!$A$981</c:f>
            </c:strRef>
          </c:xVal>
          <c:yVal>
            <c:numRef>
              <c:f>'Summary stats'!$B$981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0"/>
          <c:order val="980"/>
          <c:tx>
            <c:strRef>
              <c:f>'Summary stats'!$A$982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stats'!$A$982</c:f>
            </c:strRef>
          </c:xVal>
          <c:yVal>
            <c:numRef>
              <c:f>'Summary stats'!$B$982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1"/>
          <c:order val="981"/>
          <c:tx>
            <c:strRef>
              <c:f>'Summary stats'!$A$983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stats'!$A$983</c:f>
            </c:strRef>
          </c:xVal>
          <c:yVal>
            <c:numRef>
              <c:f>'Summary stats'!$B$983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2"/>
          <c:order val="982"/>
          <c:tx>
            <c:strRef>
              <c:f>'Summary stats'!$A$984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stats'!$A$984</c:f>
            </c:strRef>
          </c:xVal>
          <c:yVal>
            <c:numRef>
              <c:f>'Summary stats'!$B$984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3"/>
          <c:order val="983"/>
          <c:tx>
            <c:strRef>
              <c:f>'Summary stats'!$A$985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stats'!$A$985</c:f>
            </c:strRef>
          </c:xVal>
          <c:yVal>
            <c:numRef>
              <c:f>'Summary stats'!$B$985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4"/>
          <c:order val="984"/>
          <c:tx>
            <c:strRef>
              <c:f>'Summary stats'!$A$986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stats'!$A$986</c:f>
            </c:strRef>
          </c:xVal>
          <c:yVal>
            <c:numRef>
              <c:f>'Summary stats'!$B$986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5"/>
          <c:order val="985"/>
          <c:tx>
            <c:strRef>
              <c:f>'Summary stats'!$A$987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stats'!$A$987</c:f>
            </c:strRef>
          </c:xVal>
          <c:yVal>
            <c:numRef>
              <c:f>'Summary stats'!$B$987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6"/>
          <c:order val="986"/>
          <c:tx>
            <c:strRef>
              <c:f>'Summary stats'!$A$988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stats'!$A$988</c:f>
            </c:strRef>
          </c:xVal>
          <c:yVal>
            <c:numRef>
              <c:f>'Summary stats'!$B$988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7"/>
          <c:order val="987"/>
          <c:tx>
            <c:strRef>
              <c:f>'Summary stats'!$A$989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stats'!$A$989</c:f>
            </c:strRef>
          </c:xVal>
          <c:yVal>
            <c:numRef>
              <c:f>'Summary stats'!$B$989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8"/>
          <c:order val="988"/>
          <c:tx>
            <c:strRef>
              <c:f>'Summary stats'!$A$990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stats'!$A$990</c:f>
            </c:strRef>
          </c:xVal>
          <c:yVal>
            <c:numRef>
              <c:f>'Summary stats'!$B$990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89"/>
          <c:order val="989"/>
          <c:tx>
            <c:strRef>
              <c:f>'Summary stats'!$A$991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stats'!$A$991</c:f>
            </c:strRef>
          </c:xVal>
          <c:yVal>
            <c:numRef>
              <c:f>'Summary stats'!$B$991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0"/>
          <c:order val="990"/>
          <c:tx>
            <c:strRef>
              <c:f>'Summary stats'!$A$992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stats'!$A$992</c:f>
            </c:strRef>
          </c:xVal>
          <c:yVal>
            <c:numRef>
              <c:f>'Summary stats'!$B$992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1"/>
          <c:order val="991"/>
          <c:tx>
            <c:strRef>
              <c:f>'Summary stats'!$A$993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stats'!$A$993</c:f>
            </c:strRef>
          </c:xVal>
          <c:yVal>
            <c:numRef>
              <c:f>'Summary stats'!$B$993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2"/>
          <c:order val="992"/>
          <c:tx>
            <c:strRef>
              <c:f>'Summary stats'!$A$994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stats'!$A$994</c:f>
            </c:strRef>
          </c:xVal>
          <c:yVal>
            <c:numRef>
              <c:f>'Summary stats'!$B$994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3"/>
          <c:order val="993"/>
          <c:tx>
            <c:strRef>
              <c:f>'Summary stats'!$A$995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stats'!$A$995</c:f>
            </c:strRef>
          </c:xVal>
          <c:yVal>
            <c:numRef>
              <c:f>'Summary stats'!$B$995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4"/>
          <c:order val="994"/>
          <c:tx>
            <c:strRef>
              <c:f>'Summary stats'!$A$996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stats'!$A$996</c:f>
            </c:strRef>
          </c:xVal>
          <c:yVal>
            <c:numRef>
              <c:f>'Summary stats'!$B$996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5"/>
          <c:order val="995"/>
          <c:tx>
            <c:strRef>
              <c:f>'Summary stats'!$A$997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stats'!$A$997</c:f>
            </c:strRef>
          </c:xVal>
          <c:yVal>
            <c:numRef>
              <c:f>'Summary stats'!$B$997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6"/>
          <c:order val="996"/>
          <c:tx>
            <c:strRef>
              <c:f>'Summary stats'!$A$998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stats'!$A$998</c:f>
            </c:strRef>
          </c:xVal>
          <c:yVal>
            <c:numRef>
              <c:f>'Summary stats'!$B$998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7"/>
          <c:order val="997"/>
          <c:tx>
            <c:strRef>
              <c:f>'Summary stats'!$A$999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stats'!$A$999</c:f>
            </c:strRef>
          </c:xVal>
          <c:yVal>
            <c:numRef>
              <c:f>'Summary stats'!$B$999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8"/>
          <c:order val="998"/>
          <c:tx>
            <c:strRef>
              <c:f>'Summary stats'!$A$1000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stats'!$A$1000</c:f>
            </c:strRef>
          </c:xVal>
          <c:yVal>
            <c:numRef>
              <c:f>'Summary stats'!$B$1000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999"/>
          <c:order val="999"/>
          <c:tx>
            <c:strRef>
              <c:f>'Summary stats'!$A$1001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stats'!$A$1001</c:f>
            </c:strRef>
          </c:xVal>
          <c:yVal>
            <c:numRef>
              <c:f>'Summary stats'!$B$1001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00"/>
          <c:order val="1000"/>
          <c:tx>
            <c:strRef>
              <c:f>'Summary stats'!$A$1002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stats'!$A$1002</c:f>
            </c:strRef>
          </c:xVal>
          <c:yVal>
            <c:numRef>
              <c:f>'Summary stats'!$B$1002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01"/>
          <c:order val="1001"/>
          <c:tx>
            <c:strRef>
              <c:f>'Summary stats'!$A$1003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stats'!$A$1003</c:f>
            </c:strRef>
          </c:xVal>
          <c:yVal>
            <c:numRef>
              <c:f>'Summary stats'!$B$1003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02"/>
          <c:order val="1002"/>
          <c:tx>
            <c:strRef>
              <c:f>'Summary stats'!$A$1004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stats'!$A$1004</c:f>
            </c:strRef>
          </c:xVal>
          <c:yVal>
            <c:numRef>
              <c:f>'Summary stats'!$B$1004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03"/>
          <c:order val="1003"/>
          <c:tx>
            <c:strRef>
              <c:f>'Summary stats'!$A$1005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stats'!$A$1005</c:f>
            </c:strRef>
          </c:xVal>
          <c:yVal>
            <c:numRef>
              <c:f>'Summary stats'!$B$1005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04"/>
          <c:order val="1004"/>
          <c:tx>
            <c:strRef>
              <c:f>'Summary stats'!$A$1006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stats'!$A$1006</c:f>
            </c:strRef>
          </c:xVal>
          <c:yVal>
            <c:numRef>
              <c:f>'Summary stats'!$B$1006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05"/>
          <c:order val="1005"/>
          <c:tx>
            <c:strRef>
              <c:f>'Summary stats'!$A$1007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stats'!$A$1007</c:f>
            </c:strRef>
          </c:xVal>
          <c:yVal>
            <c:numRef>
              <c:f>'Summary stats'!$B$1007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06"/>
          <c:order val="1006"/>
          <c:tx>
            <c:strRef>
              <c:f>'Summary stats'!$A$1008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stats'!$A$1008</c:f>
            </c:strRef>
          </c:xVal>
          <c:yVal>
            <c:numRef>
              <c:f>'Summary stats'!$B$1008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07"/>
          <c:order val="1007"/>
          <c:tx>
            <c:strRef>
              <c:f>'Summary stats'!$A$1009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stats'!$A$1009</c:f>
            </c:strRef>
          </c:xVal>
          <c:yVal>
            <c:numRef>
              <c:f>'Summary stats'!$B$1009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08"/>
          <c:order val="1008"/>
          <c:tx>
            <c:strRef>
              <c:f>'Summary stats'!$A$1010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stats'!$A$1010</c:f>
            </c:strRef>
          </c:xVal>
          <c:yVal>
            <c:numRef>
              <c:f>'Summary stats'!$B$1010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09"/>
          <c:order val="1009"/>
          <c:tx>
            <c:strRef>
              <c:f>'Summary stats'!$A$1011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stats'!$A$1011</c:f>
            </c:strRef>
          </c:xVal>
          <c:yVal>
            <c:numRef>
              <c:f>'Summary stats'!$B$1011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10"/>
          <c:order val="1010"/>
          <c:tx>
            <c:strRef>
              <c:f>'Summary stats'!$A$1012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stats'!$A$1012</c:f>
            </c:strRef>
          </c:xVal>
          <c:yVal>
            <c:numRef>
              <c:f>'Summary stats'!$B$1012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11"/>
          <c:order val="1011"/>
          <c:tx>
            <c:strRef>
              <c:f>'Summary stats'!$A$1013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stats'!$A$1013</c:f>
            </c:strRef>
          </c:xVal>
          <c:yVal>
            <c:numRef>
              <c:f>'Summary stats'!$B$1013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12"/>
          <c:order val="1012"/>
          <c:tx>
            <c:strRef>
              <c:f>'Summary stats'!$A$1014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stats'!$A$1014</c:f>
            </c:strRef>
          </c:xVal>
          <c:yVal>
            <c:numRef>
              <c:f>'Summary stats'!$B$1014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13"/>
          <c:order val="1013"/>
          <c:tx>
            <c:strRef>
              <c:f>'Summary stats'!$A$1015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stats'!$A$1015</c:f>
            </c:strRef>
          </c:xVal>
          <c:yVal>
            <c:numRef>
              <c:f>'Summary stats'!$B$1015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14"/>
          <c:order val="1014"/>
          <c:tx>
            <c:strRef>
              <c:f>'Summary stats'!$A$1016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stats'!$A$1016</c:f>
            </c:strRef>
          </c:xVal>
          <c:yVal>
            <c:numRef>
              <c:f>'Summary stats'!$B$1016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15"/>
          <c:order val="1015"/>
          <c:tx>
            <c:strRef>
              <c:f>'Summary stats'!$A$1017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stats'!$A$1017</c:f>
            </c:strRef>
          </c:xVal>
          <c:yVal>
            <c:numRef>
              <c:f>'Summary stats'!$B$1017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16"/>
          <c:order val="1016"/>
          <c:tx>
            <c:strRef>
              <c:f>'Summary stats'!$A$1018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stats'!$A$1018</c:f>
            </c:strRef>
          </c:xVal>
          <c:yVal>
            <c:numRef>
              <c:f>'Summary stats'!$B$1018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17"/>
          <c:order val="1017"/>
          <c:tx>
            <c:strRef>
              <c:f>'Summary stats'!$A$1019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stats'!$A$1019</c:f>
            </c:strRef>
          </c:xVal>
          <c:yVal>
            <c:numRef>
              <c:f>'Summary stats'!$B$1019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18"/>
          <c:order val="1018"/>
          <c:tx>
            <c:strRef>
              <c:f>'Summary stats'!$A$1020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stats'!$A$1020</c:f>
            </c:strRef>
          </c:xVal>
          <c:yVal>
            <c:numRef>
              <c:f>'Summary stats'!$B$1020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19"/>
          <c:order val="1019"/>
          <c:tx>
            <c:strRef>
              <c:f>'Summary stats'!$A$1021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stats'!$A$1021</c:f>
            </c:strRef>
          </c:xVal>
          <c:yVal>
            <c:numRef>
              <c:f>'Summary stats'!$B$1021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20"/>
          <c:order val="1020"/>
          <c:tx>
            <c:strRef>
              <c:f>'Summary stats'!$A$1022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stats'!$A$1022</c:f>
            </c:strRef>
          </c:xVal>
          <c:yVal>
            <c:numRef>
              <c:f>'Summary stats'!$B$1022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21"/>
          <c:order val="1021"/>
          <c:tx>
            <c:strRef>
              <c:f>'Summary stats'!$A$1023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stats'!$A$1023</c:f>
            </c:strRef>
          </c:xVal>
          <c:yVal>
            <c:numRef>
              <c:f>'Summary stats'!$B$1023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22"/>
          <c:order val="1022"/>
          <c:tx>
            <c:strRef>
              <c:f>'Summary stats'!$A$1024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stats'!$A$1024</c:f>
            </c:strRef>
          </c:xVal>
          <c:yVal>
            <c:numRef>
              <c:f>'Summary stats'!$B$1024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23"/>
          <c:order val="1023"/>
          <c:tx>
            <c:strRef>
              <c:f>'Summary stats'!$A$1025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stats'!$A$1025</c:f>
            </c:strRef>
          </c:xVal>
          <c:yVal>
            <c:numRef>
              <c:f>'Summary stats'!$B$1025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24"/>
          <c:order val="1024"/>
          <c:tx>
            <c:strRef>
              <c:f>'Summary stats'!$A$1026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stats'!$A$1026</c:f>
            </c:strRef>
          </c:xVal>
          <c:yVal>
            <c:numRef>
              <c:f>'Summary stats'!$B$1026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25"/>
          <c:order val="1025"/>
          <c:tx>
            <c:strRef>
              <c:f>'Summary stats'!$A$1027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stats'!$A$1027</c:f>
            </c:strRef>
          </c:xVal>
          <c:yVal>
            <c:numRef>
              <c:f>'Summary stats'!$B$1027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26"/>
          <c:order val="1026"/>
          <c:tx>
            <c:strRef>
              <c:f>'Summary stats'!$A$1028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stats'!$A$1028</c:f>
            </c:strRef>
          </c:xVal>
          <c:yVal>
            <c:numRef>
              <c:f>'Summary stats'!$B$1028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27"/>
          <c:order val="1027"/>
          <c:tx>
            <c:strRef>
              <c:f>'Summary stats'!$A$1029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stats'!$A$1029</c:f>
            </c:strRef>
          </c:xVal>
          <c:yVal>
            <c:numRef>
              <c:f>'Summary stats'!$B$1029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28"/>
          <c:order val="1028"/>
          <c:tx>
            <c:strRef>
              <c:f>'Summary stats'!$A$1030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stats'!$A$1030</c:f>
            </c:strRef>
          </c:xVal>
          <c:yVal>
            <c:numRef>
              <c:f>'Summary stats'!$B$1030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29"/>
          <c:order val="1029"/>
          <c:tx>
            <c:strRef>
              <c:f>'Summary stats'!$A$1031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stats'!$A$1031</c:f>
            </c:strRef>
          </c:xVal>
          <c:yVal>
            <c:numRef>
              <c:f>'Summary stats'!$B$1031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30"/>
          <c:order val="1030"/>
          <c:tx>
            <c:strRef>
              <c:f>'Summary stats'!$A$1032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stats'!$A$1032</c:f>
            </c:strRef>
          </c:xVal>
          <c:yVal>
            <c:numRef>
              <c:f>'Summary stats'!$B$1032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31"/>
          <c:order val="1031"/>
          <c:tx>
            <c:strRef>
              <c:f>'Summary stats'!$A$1033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stats'!$A$1033</c:f>
            </c:strRef>
          </c:xVal>
          <c:yVal>
            <c:numRef>
              <c:f>'Summary stats'!$B$1033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32"/>
          <c:order val="1032"/>
          <c:tx>
            <c:strRef>
              <c:f>'Summary stats'!$A$1034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stats'!$A$1034</c:f>
            </c:strRef>
          </c:xVal>
          <c:yVal>
            <c:numRef>
              <c:f>'Summary stats'!$B$1034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33"/>
          <c:order val="1033"/>
          <c:tx>
            <c:strRef>
              <c:f>'Summary stats'!$A$1035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stats'!$A$1035</c:f>
            </c:strRef>
          </c:xVal>
          <c:yVal>
            <c:numRef>
              <c:f>'Summary stats'!$B$1035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34"/>
          <c:order val="1034"/>
          <c:tx>
            <c:strRef>
              <c:f>'Summary stats'!$A$1036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stats'!$A$1036</c:f>
            </c:strRef>
          </c:xVal>
          <c:yVal>
            <c:numRef>
              <c:f>'Summary stats'!$B$1036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35"/>
          <c:order val="1035"/>
          <c:tx>
            <c:strRef>
              <c:f>'Summary stats'!$A$1037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stats'!$A$1037</c:f>
            </c:strRef>
          </c:xVal>
          <c:yVal>
            <c:numRef>
              <c:f>'Summary stats'!$B$1037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36"/>
          <c:order val="1036"/>
          <c:tx>
            <c:strRef>
              <c:f>'Summary stats'!$A$1038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stats'!$A$1038</c:f>
            </c:strRef>
          </c:xVal>
          <c:yVal>
            <c:numRef>
              <c:f>'Summary stats'!$B$1038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37"/>
          <c:order val="1037"/>
          <c:tx>
            <c:strRef>
              <c:f>'Summary stats'!$A$1039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stats'!$A$1039</c:f>
            </c:strRef>
          </c:xVal>
          <c:yVal>
            <c:numRef>
              <c:f>'Summary stats'!$B$1039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38"/>
          <c:order val="1038"/>
          <c:tx>
            <c:strRef>
              <c:f>'Summary stats'!$A$1040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stats'!$A$1040</c:f>
            </c:strRef>
          </c:xVal>
          <c:yVal>
            <c:numRef>
              <c:f>'Summary stats'!$B$1040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39"/>
          <c:order val="1039"/>
          <c:tx>
            <c:strRef>
              <c:f>'Summary stats'!$A$1041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stats'!$A$1041</c:f>
            </c:strRef>
          </c:xVal>
          <c:yVal>
            <c:numRef>
              <c:f>'Summary stats'!$B$1041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40"/>
          <c:order val="1040"/>
          <c:tx>
            <c:strRef>
              <c:f>'Summary stats'!$A$1042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stats'!$A$1042</c:f>
            </c:strRef>
          </c:xVal>
          <c:yVal>
            <c:numRef>
              <c:f>'Summary stats'!$B$1042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41"/>
          <c:order val="1041"/>
          <c:tx>
            <c:strRef>
              <c:f>'Summary stats'!$A$1043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stats'!$A$1043</c:f>
            </c:strRef>
          </c:xVal>
          <c:yVal>
            <c:numRef>
              <c:f>'Summary stats'!$B$1043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42"/>
          <c:order val="1042"/>
          <c:tx>
            <c:strRef>
              <c:f>'Summary stats'!$A$1044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stats'!$A$1044</c:f>
            </c:strRef>
          </c:xVal>
          <c:yVal>
            <c:numRef>
              <c:f>'Summary stats'!$B$1044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43"/>
          <c:order val="1043"/>
          <c:tx>
            <c:strRef>
              <c:f>'Summary stats'!$A$1045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stats'!$A$1045</c:f>
            </c:strRef>
          </c:xVal>
          <c:yVal>
            <c:numRef>
              <c:f>'Summary stats'!$B$1045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44"/>
          <c:order val="1044"/>
          <c:tx>
            <c:strRef>
              <c:f>'Summary stats'!$A$1046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stats'!$A$1046</c:f>
            </c:strRef>
          </c:xVal>
          <c:yVal>
            <c:numRef>
              <c:f>'Summary stats'!$B$1046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45"/>
          <c:order val="1045"/>
          <c:tx>
            <c:strRef>
              <c:f>'Summary stats'!$A$1047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stats'!$A$1047</c:f>
            </c:strRef>
          </c:xVal>
          <c:yVal>
            <c:numRef>
              <c:f>'Summary stats'!$B$1047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46"/>
          <c:order val="1046"/>
          <c:tx>
            <c:strRef>
              <c:f>'Summary stats'!$A$1048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stats'!$A$1048</c:f>
            </c:strRef>
          </c:xVal>
          <c:yVal>
            <c:numRef>
              <c:f>'Summary stats'!$B$1048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47"/>
          <c:order val="1047"/>
          <c:tx>
            <c:strRef>
              <c:f>'Summary stats'!$A$1049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stats'!$A$1049</c:f>
            </c:strRef>
          </c:xVal>
          <c:yVal>
            <c:numRef>
              <c:f>'Summary stats'!$B$1049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48"/>
          <c:order val="1048"/>
          <c:tx>
            <c:strRef>
              <c:f>'Summary stats'!$A$1050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stats'!$A$1050</c:f>
            </c:strRef>
          </c:xVal>
          <c:yVal>
            <c:numRef>
              <c:f>'Summary stats'!$B$1050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49"/>
          <c:order val="1049"/>
          <c:tx>
            <c:strRef>
              <c:f>'Summary stats'!$A$1051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stats'!$A$1051</c:f>
            </c:strRef>
          </c:xVal>
          <c:yVal>
            <c:numRef>
              <c:f>'Summary stats'!$B$1051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50"/>
          <c:order val="1050"/>
          <c:tx>
            <c:strRef>
              <c:f>'Summary stats'!$A$1052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stats'!$A$1052</c:f>
            </c:strRef>
          </c:xVal>
          <c:yVal>
            <c:numRef>
              <c:f>'Summary stats'!$B$1052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51"/>
          <c:order val="1051"/>
          <c:tx>
            <c:strRef>
              <c:f>'Summary stats'!$A$1053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stats'!$A$1053</c:f>
            </c:strRef>
          </c:xVal>
          <c:yVal>
            <c:numRef>
              <c:f>'Summary stats'!$B$1053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52"/>
          <c:order val="1052"/>
          <c:tx>
            <c:strRef>
              <c:f>'Summary stats'!$A$1054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stats'!$A$1054</c:f>
            </c:strRef>
          </c:xVal>
          <c:yVal>
            <c:numRef>
              <c:f>'Summary stats'!$B$1054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53"/>
          <c:order val="1053"/>
          <c:tx>
            <c:strRef>
              <c:f>'Summary stats'!$A$1055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stats'!$A$1055</c:f>
            </c:strRef>
          </c:xVal>
          <c:yVal>
            <c:numRef>
              <c:f>'Summary stats'!$B$1055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54"/>
          <c:order val="1054"/>
          <c:tx>
            <c:strRef>
              <c:f>'Summary stats'!$A$1056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stats'!$A$1056</c:f>
            </c:strRef>
          </c:xVal>
          <c:yVal>
            <c:numRef>
              <c:f>'Summary stats'!$B$1056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55"/>
          <c:order val="1055"/>
          <c:tx>
            <c:strRef>
              <c:f>'Summary stats'!$A$1057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stats'!$A$1057</c:f>
            </c:strRef>
          </c:xVal>
          <c:yVal>
            <c:numRef>
              <c:f>'Summary stats'!$B$1057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56"/>
          <c:order val="1056"/>
          <c:tx>
            <c:strRef>
              <c:f>'Summary stats'!$A$1058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stats'!$A$1058</c:f>
            </c:strRef>
          </c:xVal>
          <c:yVal>
            <c:numRef>
              <c:f>'Summary stats'!$B$1058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57"/>
          <c:order val="1057"/>
          <c:tx>
            <c:strRef>
              <c:f>'Summary stats'!$A$1059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stats'!$A$1059</c:f>
            </c:strRef>
          </c:xVal>
          <c:yVal>
            <c:numRef>
              <c:f>'Summary stats'!$B$1059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58"/>
          <c:order val="1058"/>
          <c:tx>
            <c:strRef>
              <c:f>'Summary stats'!$A$1060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stats'!$A$1060</c:f>
            </c:strRef>
          </c:xVal>
          <c:yVal>
            <c:numRef>
              <c:f>'Summary stats'!$B$1060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59"/>
          <c:order val="1059"/>
          <c:tx>
            <c:strRef>
              <c:f>'Summary stats'!$A$1061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stats'!$A$1061</c:f>
            </c:strRef>
          </c:xVal>
          <c:yVal>
            <c:numRef>
              <c:f>'Summary stats'!$B$1061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60"/>
          <c:order val="1060"/>
          <c:tx>
            <c:strRef>
              <c:f>'Summary stats'!$A$1062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stats'!$A$1062</c:f>
            </c:strRef>
          </c:xVal>
          <c:yVal>
            <c:numRef>
              <c:f>'Summary stats'!$B$1062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61"/>
          <c:order val="1061"/>
          <c:tx>
            <c:strRef>
              <c:f>'Summary stats'!$A$1063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stats'!$A$1063</c:f>
            </c:strRef>
          </c:xVal>
          <c:yVal>
            <c:numRef>
              <c:f>'Summary stats'!$B$1063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62"/>
          <c:order val="1062"/>
          <c:tx>
            <c:strRef>
              <c:f>'Summary stats'!$A$1064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stats'!$A$1064</c:f>
            </c:strRef>
          </c:xVal>
          <c:yVal>
            <c:numRef>
              <c:f>'Summary stats'!$B$1064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63"/>
          <c:order val="1063"/>
          <c:tx>
            <c:strRef>
              <c:f>'Summary stats'!$A$1065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stats'!$A$1065</c:f>
            </c:strRef>
          </c:xVal>
          <c:yVal>
            <c:numRef>
              <c:f>'Summary stats'!$B$1065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64"/>
          <c:order val="1064"/>
          <c:tx>
            <c:strRef>
              <c:f>'Summary stats'!$A$1066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stats'!$A$1066</c:f>
            </c:strRef>
          </c:xVal>
          <c:yVal>
            <c:numRef>
              <c:f>'Summary stats'!$B$1066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65"/>
          <c:order val="1065"/>
          <c:tx>
            <c:strRef>
              <c:f>'Summary stats'!$A$1067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stats'!$A$1067</c:f>
            </c:strRef>
          </c:xVal>
          <c:yVal>
            <c:numRef>
              <c:f>'Summary stats'!$B$1067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66"/>
          <c:order val="1066"/>
          <c:tx>
            <c:strRef>
              <c:f>'Summary stats'!$A$1068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stats'!$A$1068</c:f>
            </c:strRef>
          </c:xVal>
          <c:yVal>
            <c:numRef>
              <c:f>'Summary stats'!$B$1068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67"/>
          <c:order val="1067"/>
          <c:tx>
            <c:strRef>
              <c:f>'Summary stats'!$A$1069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stats'!$A$1069</c:f>
            </c:strRef>
          </c:xVal>
          <c:yVal>
            <c:numRef>
              <c:f>'Summary stats'!$B$1069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68"/>
          <c:order val="1068"/>
          <c:tx>
            <c:strRef>
              <c:f>'Summary stats'!$A$1070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stats'!$A$1070</c:f>
            </c:strRef>
          </c:xVal>
          <c:yVal>
            <c:numRef>
              <c:f>'Summary stats'!$B$1070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69"/>
          <c:order val="1069"/>
          <c:tx>
            <c:strRef>
              <c:f>'Summary stats'!$A$1071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stats'!$A$1071</c:f>
            </c:strRef>
          </c:xVal>
          <c:yVal>
            <c:numRef>
              <c:f>'Summary stats'!$B$1071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70"/>
          <c:order val="1070"/>
          <c:tx>
            <c:strRef>
              <c:f>'Summary stats'!$A$1072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stats'!$A$1072</c:f>
            </c:strRef>
          </c:xVal>
          <c:yVal>
            <c:numRef>
              <c:f>'Summary stats'!$B$1072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71"/>
          <c:order val="1071"/>
          <c:tx>
            <c:strRef>
              <c:f>'Summary stats'!$A$1073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stats'!$A$1073</c:f>
            </c:strRef>
          </c:xVal>
          <c:yVal>
            <c:numRef>
              <c:f>'Summary stats'!$B$1073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72"/>
          <c:order val="1072"/>
          <c:tx>
            <c:strRef>
              <c:f>'Summary stats'!$A$1074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stats'!$A$1074</c:f>
            </c:strRef>
          </c:xVal>
          <c:yVal>
            <c:numRef>
              <c:f>'Summary stats'!$B$1074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73"/>
          <c:order val="1073"/>
          <c:tx>
            <c:strRef>
              <c:f>'Summary stats'!$A$1075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stats'!$A$1075</c:f>
            </c:strRef>
          </c:xVal>
          <c:yVal>
            <c:numRef>
              <c:f>'Summary stats'!$B$1075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74"/>
          <c:order val="1074"/>
          <c:tx>
            <c:strRef>
              <c:f>'Summary stats'!$A$1076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stats'!$A$1076</c:f>
            </c:strRef>
          </c:xVal>
          <c:yVal>
            <c:numRef>
              <c:f>'Summary stats'!$B$1076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75"/>
          <c:order val="1075"/>
          <c:tx>
            <c:strRef>
              <c:f>'Summary stats'!$A$1077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stats'!$A$1077</c:f>
            </c:strRef>
          </c:xVal>
          <c:yVal>
            <c:numRef>
              <c:f>'Summary stats'!$B$1077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76"/>
          <c:order val="1076"/>
          <c:tx>
            <c:strRef>
              <c:f>'Summary stats'!$A$1078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stats'!$A$1078</c:f>
            </c:strRef>
          </c:xVal>
          <c:yVal>
            <c:numRef>
              <c:f>'Summary stats'!$B$1078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77"/>
          <c:order val="1077"/>
          <c:tx>
            <c:strRef>
              <c:f>'Summary stats'!$A$1079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stats'!$A$1079</c:f>
            </c:strRef>
          </c:xVal>
          <c:yVal>
            <c:numRef>
              <c:f>'Summary stats'!$B$1079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78"/>
          <c:order val="1078"/>
          <c:tx>
            <c:strRef>
              <c:f>'Summary stats'!$A$1080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stats'!$A$1080</c:f>
            </c:strRef>
          </c:xVal>
          <c:yVal>
            <c:numRef>
              <c:f>'Summary stats'!$B$1080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79"/>
          <c:order val="1079"/>
          <c:tx>
            <c:strRef>
              <c:f>'Summary stats'!$A$1081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stats'!$A$1081</c:f>
            </c:strRef>
          </c:xVal>
          <c:yVal>
            <c:numRef>
              <c:f>'Summary stats'!$B$1081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80"/>
          <c:order val="1080"/>
          <c:tx>
            <c:strRef>
              <c:f>'Summary stats'!$A$1082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stats'!$A$1082</c:f>
            </c:strRef>
          </c:xVal>
          <c:yVal>
            <c:numRef>
              <c:f>'Summary stats'!$B$1082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81"/>
          <c:order val="1081"/>
          <c:tx>
            <c:strRef>
              <c:f>'Summary stats'!$A$1083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stats'!$A$1083</c:f>
            </c:strRef>
          </c:xVal>
          <c:yVal>
            <c:numRef>
              <c:f>'Summary stats'!$B$1083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82"/>
          <c:order val="1082"/>
          <c:tx>
            <c:strRef>
              <c:f>'Summary stats'!$A$1084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stats'!$A$1084</c:f>
            </c:strRef>
          </c:xVal>
          <c:yVal>
            <c:numRef>
              <c:f>'Summary stats'!$B$1084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83"/>
          <c:order val="1083"/>
          <c:tx>
            <c:strRef>
              <c:f>'Summary stats'!$A$1085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stats'!$A$1085</c:f>
            </c:strRef>
          </c:xVal>
          <c:yVal>
            <c:numRef>
              <c:f>'Summary stats'!$B$1085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84"/>
          <c:order val="1084"/>
          <c:tx>
            <c:strRef>
              <c:f>'Summary stats'!$A$1086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stats'!$A$1086</c:f>
            </c:strRef>
          </c:xVal>
          <c:yVal>
            <c:numRef>
              <c:f>'Summary stats'!$B$1086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85"/>
          <c:order val="1085"/>
          <c:tx>
            <c:strRef>
              <c:f>'Summary stats'!$A$1087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stats'!$A$1087</c:f>
            </c:strRef>
          </c:xVal>
          <c:yVal>
            <c:numRef>
              <c:f>'Summary stats'!$B$1087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86"/>
          <c:order val="1086"/>
          <c:tx>
            <c:strRef>
              <c:f>'Summary stats'!$A$1088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stats'!$A$1088</c:f>
            </c:strRef>
          </c:xVal>
          <c:yVal>
            <c:numRef>
              <c:f>'Summary stats'!$B$1088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87"/>
          <c:order val="1087"/>
          <c:tx>
            <c:strRef>
              <c:f>'Summary stats'!$A$1089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stats'!$A$1089</c:f>
            </c:strRef>
          </c:xVal>
          <c:yVal>
            <c:numRef>
              <c:f>'Summary stats'!$B$1089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88"/>
          <c:order val="1088"/>
          <c:tx>
            <c:strRef>
              <c:f>'Summary stats'!$A$1090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stats'!$A$1090</c:f>
            </c:strRef>
          </c:xVal>
          <c:yVal>
            <c:numRef>
              <c:f>'Summary stats'!$B$1090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89"/>
          <c:order val="1089"/>
          <c:tx>
            <c:strRef>
              <c:f>'Summary stats'!$A$1091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stats'!$A$1091</c:f>
            </c:strRef>
          </c:xVal>
          <c:yVal>
            <c:numRef>
              <c:f>'Summary stats'!$B$1091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90"/>
          <c:order val="1090"/>
          <c:tx>
            <c:strRef>
              <c:f>'Summary stats'!$A$1092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stats'!$A$1092</c:f>
            </c:strRef>
          </c:xVal>
          <c:yVal>
            <c:numRef>
              <c:f>'Summary stats'!$B$1092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91"/>
          <c:order val="1091"/>
          <c:tx>
            <c:strRef>
              <c:f>'Summary stats'!$A$1093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stats'!$A$1093</c:f>
            </c:strRef>
          </c:xVal>
          <c:yVal>
            <c:numRef>
              <c:f>'Summary stats'!$B$1093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92"/>
          <c:order val="1092"/>
          <c:tx>
            <c:strRef>
              <c:f>'Summary stats'!$A$1094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stats'!$A$1094</c:f>
            </c:strRef>
          </c:xVal>
          <c:yVal>
            <c:numRef>
              <c:f>'Summary stats'!$B$1094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93"/>
          <c:order val="1093"/>
          <c:tx>
            <c:strRef>
              <c:f>'Summary stats'!$A$1095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stats'!$A$1095</c:f>
            </c:strRef>
          </c:xVal>
          <c:yVal>
            <c:numRef>
              <c:f>'Summary stats'!$B$1095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94"/>
          <c:order val="1094"/>
          <c:tx>
            <c:strRef>
              <c:f>'Summary stats'!$A$1096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stats'!$A$1096</c:f>
            </c:strRef>
          </c:xVal>
          <c:yVal>
            <c:numRef>
              <c:f>'Summary stats'!$B$1096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95"/>
          <c:order val="1095"/>
          <c:tx>
            <c:strRef>
              <c:f>'Summary stats'!$A$1097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stats'!$A$1097</c:f>
            </c:strRef>
          </c:xVal>
          <c:yVal>
            <c:numRef>
              <c:f>'Summary stats'!$B$1097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96"/>
          <c:order val="1096"/>
          <c:tx>
            <c:strRef>
              <c:f>'Summary stats'!$A$1098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stats'!$A$1098</c:f>
            </c:strRef>
          </c:xVal>
          <c:yVal>
            <c:numRef>
              <c:f>'Summary stats'!$B$1098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97"/>
          <c:order val="1097"/>
          <c:tx>
            <c:strRef>
              <c:f>'Summary stats'!$A$1099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stats'!$A$1099</c:f>
            </c:strRef>
          </c:xVal>
          <c:yVal>
            <c:numRef>
              <c:f>'Summary stats'!$B$1099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98"/>
          <c:order val="1098"/>
          <c:tx>
            <c:strRef>
              <c:f>'Summary stats'!$A$1100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stats'!$A$1100</c:f>
            </c:strRef>
          </c:xVal>
          <c:yVal>
            <c:numRef>
              <c:f>'Summary stats'!$B$1100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099"/>
          <c:order val="1099"/>
          <c:tx>
            <c:strRef>
              <c:f>'Summary stats'!$A$1101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stats'!$A$1101</c:f>
            </c:strRef>
          </c:xVal>
          <c:yVal>
            <c:numRef>
              <c:f>'Summary stats'!$B$1101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00"/>
          <c:order val="1100"/>
          <c:tx>
            <c:strRef>
              <c:f>'Summary stats'!$A$1102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stats'!$A$1102</c:f>
            </c:strRef>
          </c:xVal>
          <c:yVal>
            <c:numRef>
              <c:f>'Summary stats'!$B$1102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01"/>
          <c:order val="1101"/>
          <c:tx>
            <c:strRef>
              <c:f>'Summary stats'!$A$1103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stats'!$A$1103</c:f>
            </c:strRef>
          </c:xVal>
          <c:yVal>
            <c:numRef>
              <c:f>'Summary stats'!$B$1103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02"/>
          <c:order val="1102"/>
          <c:tx>
            <c:strRef>
              <c:f>'Summary stats'!$A$1104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stats'!$A$1104</c:f>
            </c:strRef>
          </c:xVal>
          <c:yVal>
            <c:numRef>
              <c:f>'Summary stats'!$B$1104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03"/>
          <c:order val="1103"/>
          <c:tx>
            <c:strRef>
              <c:f>'Summary stats'!$A$1105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stats'!$A$1105</c:f>
            </c:strRef>
          </c:xVal>
          <c:yVal>
            <c:numRef>
              <c:f>'Summary stats'!$B$1105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04"/>
          <c:order val="1104"/>
          <c:tx>
            <c:strRef>
              <c:f>'Summary stats'!$A$1106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stats'!$A$1106</c:f>
            </c:strRef>
          </c:xVal>
          <c:yVal>
            <c:numRef>
              <c:f>'Summary stats'!$B$1106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05"/>
          <c:order val="1105"/>
          <c:tx>
            <c:strRef>
              <c:f>'Summary stats'!$A$1107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stats'!$A$1107</c:f>
            </c:strRef>
          </c:xVal>
          <c:yVal>
            <c:numRef>
              <c:f>'Summary stats'!$B$1107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06"/>
          <c:order val="1106"/>
          <c:tx>
            <c:strRef>
              <c:f>'Summary stats'!$A$1108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stats'!$A$1108</c:f>
            </c:strRef>
          </c:xVal>
          <c:yVal>
            <c:numRef>
              <c:f>'Summary stats'!$B$1108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07"/>
          <c:order val="1107"/>
          <c:tx>
            <c:strRef>
              <c:f>'Summary stats'!$A$1109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stats'!$A$1109</c:f>
            </c:strRef>
          </c:xVal>
          <c:yVal>
            <c:numRef>
              <c:f>'Summary stats'!$B$1109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08"/>
          <c:order val="1108"/>
          <c:tx>
            <c:strRef>
              <c:f>'Summary stats'!$A$1110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stats'!$A$1110</c:f>
            </c:strRef>
          </c:xVal>
          <c:yVal>
            <c:numRef>
              <c:f>'Summary stats'!$B$1110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09"/>
          <c:order val="1109"/>
          <c:tx>
            <c:strRef>
              <c:f>'Summary stats'!$A$1111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stats'!$A$1111</c:f>
            </c:strRef>
          </c:xVal>
          <c:yVal>
            <c:numRef>
              <c:f>'Summary stats'!$B$1111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10"/>
          <c:order val="1110"/>
          <c:tx>
            <c:strRef>
              <c:f>'Summary stats'!$A$1112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stats'!$A$1112</c:f>
            </c:strRef>
          </c:xVal>
          <c:yVal>
            <c:numRef>
              <c:f>'Summary stats'!$B$1112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11"/>
          <c:order val="1111"/>
          <c:tx>
            <c:strRef>
              <c:f>'Summary stats'!$A$1113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stats'!$A$1113</c:f>
            </c:strRef>
          </c:xVal>
          <c:yVal>
            <c:numRef>
              <c:f>'Summary stats'!$B$1113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12"/>
          <c:order val="1112"/>
          <c:tx>
            <c:strRef>
              <c:f>'Summary stats'!$A$1114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stats'!$A$1114</c:f>
            </c:strRef>
          </c:xVal>
          <c:yVal>
            <c:numRef>
              <c:f>'Summary stats'!$B$1114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13"/>
          <c:order val="1113"/>
          <c:tx>
            <c:strRef>
              <c:f>'Summary stats'!$A$1115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stats'!$A$1115</c:f>
            </c:strRef>
          </c:xVal>
          <c:yVal>
            <c:numRef>
              <c:f>'Summary stats'!$B$1115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14"/>
          <c:order val="1114"/>
          <c:tx>
            <c:strRef>
              <c:f>'Summary stats'!$A$1116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stats'!$A$1116</c:f>
            </c:strRef>
          </c:xVal>
          <c:yVal>
            <c:numRef>
              <c:f>'Summary stats'!$B$1116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15"/>
          <c:order val="1115"/>
          <c:tx>
            <c:strRef>
              <c:f>'Summary stats'!$A$1117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stats'!$A$1117</c:f>
            </c:strRef>
          </c:xVal>
          <c:yVal>
            <c:numRef>
              <c:f>'Summary stats'!$B$1117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16"/>
          <c:order val="1116"/>
          <c:tx>
            <c:strRef>
              <c:f>'Summary stats'!$A$1118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stats'!$A$1118</c:f>
            </c:strRef>
          </c:xVal>
          <c:yVal>
            <c:numRef>
              <c:f>'Summary stats'!$B$1118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17"/>
          <c:order val="1117"/>
          <c:tx>
            <c:strRef>
              <c:f>'Summary stats'!$A$1119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stats'!$A$1119</c:f>
            </c:strRef>
          </c:xVal>
          <c:yVal>
            <c:numRef>
              <c:f>'Summary stats'!$B$1119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18"/>
          <c:order val="1118"/>
          <c:tx>
            <c:strRef>
              <c:f>'Summary stats'!$A$1120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stats'!$A$1120</c:f>
            </c:strRef>
          </c:xVal>
          <c:yVal>
            <c:numRef>
              <c:f>'Summary stats'!$B$1120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19"/>
          <c:order val="1119"/>
          <c:tx>
            <c:strRef>
              <c:f>'Summary stats'!$A$1121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stats'!$A$1121</c:f>
            </c:strRef>
          </c:xVal>
          <c:yVal>
            <c:numRef>
              <c:f>'Summary stats'!$B$1121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20"/>
          <c:order val="1120"/>
          <c:tx>
            <c:strRef>
              <c:f>'Summary stats'!$A$1122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stats'!$A$1122</c:f>
            </c:strRef>
          </c:xVal>
          <c:yVal>
            <c:numRef>
              <c:f>'Summary stats'!$B$1122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21"/>
          <c:order val="1121"/>
          <c:tx>
            <c:strRef>
              <c:f>'Summary stats'!$A$1123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stats'!$A$1123</c:f>
            </c:strRef>
          </c:xVal>
          <c:yVal>
            <c:numRef>
              <c:f>'Summary stats'!$B$1123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22"/>
          <c:order val="1122"/>
          <c:tx>
            <c:strRef>
              <c:f>'Summary stats'!$A$1124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stats'!$A$1124</c:f>
            </c:strRef>
          </c:xVal>
          <c:yVal>
            <c:numRef>
              <c:f>'Summary stats'!$B$1124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23"/>
          <c:order val="1123"/>
          <c:tx>
            <c:strRef>
              <c:f>'Summary stats'!$A$1125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stats'!$A$1125</c:f>
            </c:strRef>
          </c:xVal>
          <c:yVal>
            <c:numRef>
              <c:f>'Summary stats'!$B$1125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24"/>
          <c:order val="1124"/>
          <c:tx>
            <c:strRef>
              <c:f>'Summary stats'!$A$1126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stats'!$A$1126</c:f>
            </c:strRef>
          </c:xVal>
          <c:yVal>
            <c:numRef>
              <c:f>'Summary stats'!$B$1126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25"/>
          <c:order val="1125"/>
          <c:tx>
            <c:strRef>
              <c:f>'Summary stats'!$A$1127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stats'!$A$1127</c:f>
            </c:strRef>
          </c:xVal>
          <c:yVal>
            <c:numRef>
              <c:f>'Summary stats'!$B$1127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26"/>
          <c:order val="1126"/>
          <c:tx>
            <c:strRef>
              <c:f>'Summary stats'!$A$1128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stats'!$A$1128</c:f>
            </c:strRef>
          </c:xVal>
          <c:yVal>
            <c:numRef>
              <c:f>'Summary stats'!$B$1128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27"/>
          <c:order val="1127"/>
          <c:tx>
            <c:strRef>
              <c:f>'Summary stats'!$A$1129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stats'!$A$1129</c:f>
            </c:strRef>
          </c:xVal>
          <c:yVal>
            <c:numRef>
              <c:f>'Summary stats'!$B$1129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28"/>
          <c:order val="1128"/>
          <c:tx>
            <c:strRef>
              <c:f>'Summary stats'!$A$1130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stats'!$A$1130</c:f>
            </c:strRef>
          </c:xVal>
          <c:yVal>
            <c:numRef>
              <c:f>'Summary stats'!$B$1130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29"/>
          <c:order val="1129"/>
          <c:tx>
            <c:strRef>
              <c:f>'Summary stats'!$A$1131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stats'!$A$1131</c:f>
            </c:strRef>
          </c:xVal>
          <c:yVal>
            <c:numRef>
              <c:f>'Summary stats'!$B$1131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30"/>
          <c:order val="1130"/>
          <c:tx>
            <c:strRef>
              <c:f>'Summary stats'!$A$1132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stats'!$A$1132</c:f>
            </c:strRef>
          </c:xVal>
          <c:yVal>
            <c:numRef>
              <c:f>'Summary stats'!$B$1132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31"/>
          <c:order val="1131"/>
          <c:tx>
            <c:strRef>
              <c:f>'Summary stats'!$A$1133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stats'!$A$1133</c:f>
            </c:strRef>
          </c:xVal>
          <c:yVal>
            <c:numRef>
              <c:f>'Summary stats'!$B$1133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32"/>
          <c:order val="1132"/>
          <c:tx>
            <c:strRef>
              <c:f>'Summary stats'!$A$1134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stats'!$A$1134</c:f>
            </c:strRef>
          </c:xVal>
          <c:yVal>
            <c:numRef>
              <c:f>'Summary stats'!$B$1134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33"/>
          <c:order val="1133"/>
          <c:tx>
            <c:strRef>
              <c:f>'Summary stats'!$A$1135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stats'!$A$1135</c:f>
            </c:strRef>
          </c:xVal>
          <c:yVal>
            <c:numRef>
              <c:f>'Summary stats'!$B$1135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34"/>
          <c:order val="1134"/>
          <c:tx>
            <c:strRef>
              <c:f>'Summary stats'!$A$1136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stats'!$A$1136</c:f>
            </c:strRef>
          </c:xVal>
          <c:yVal>
            <c:numRef>
              <c:f>'Summary stats'!$B$1136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35"/>
          <c:order val="1135"/>
          <c:tx>
            <c:strRef>
              <c:f>'Summary stats'!$A$1137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stats'!$A$1137</c:f>
            </c:strRef>
          </c:xVal>
          <c:yVal>
            <c:numRef>
              <c:f>'Summary stats'!$B$1137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36"/>
          <c:order val="1136"/>
          <c:tx>
            <c:strRef>
              <c:f>'Summary stats'!$A$1138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stats'!$A$1138</c:f>
            </c:strRef>
          </c:xVal>
          <c:yVal>
            <c:numRef>
              <c:f>'Summary stats'!$B$1138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37"/>
          <c:order val="1137"/>
          <c:tx>
            <c:strRef>
              <c:f>'Summary stats'!$A$1139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stats'!$A$1139</c:f>
            </c:strRef>
          </c:xVal>
          <c:yVal>
            <c:numRef>
              <c:f>'Summary stats'!$B$1139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38"/>
          <c:order val="1138"/>
          <c:tx>
            <c:strRef>
              <c:f>'Summary stats'!$A$1140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stats'!$A$1140</c:f>
            </c:strRef>
          </c:xVal>
          <c:yVal>
            <c:numRef>
              <c:f>'Summary stats'!$B$1140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39"/>
          <c:order val="1139"/>
          <c:tx>
            <c:strRef>
              <c:f>'Summary stats'!$A$1141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stats'!$A$1141</c:f>
            </c:strRef>
          </c:xVal>
          <c:yVal>
            <c:numRef>
              <c:f>'Summary stats'!$B$1141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40"/>
          <c:order val="1140"/>
          <c:tx>
            <c:strRef>
              <c:f>'Summary stats'!$A$1142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stats'!$A$1142</c:f>
            </c:strRef>
          </c:xVal>
          <c:yVal>
            <c:numRef>
              <c:f>'Summary stats'!$B$1142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41"/>
          <c:order val="1141"/>
          <c:tx>
            <c:strRef>
              <c:f>'Summary stats'!$A$1143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stats'!$A$1143</c:f>
            </c:strRef>
          </c:xVal>
          <c:yVal>
            <c:numRef>
              <c:f>'Summary stats'!$B$1143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42"/>
          <c:order val="1142"/>
          <c:tx>
            <c:strRef>
              <c:f>'Summary stats'!$A$1144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stats'!$A$1144</c:f>
            </c:strRef>
          </c:xVal>
          <c:yVal>
            <c:numRef>
              <c:f>'Summary stats'!$B$1144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43"/>
          <c:order val="1143"/>
          <c:tx>
            <c:strRef>
              <c:f>'Summary stats'!$A$1145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stats'!$A$1145</c:f>
            </c:strRef>
          </c:xVal>
          <c:yVal>
            <c:numRef>
              <c:f>'Summary stats'!$B$1145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44"/>
          <c:order val="1144"/>
          <c:tx>
            <c:strRef>
              <c:f>'Summary stats'!$A$1146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stats'!$A$1146</c:f>
            </c:strRef>
          </c:xVal>
          <c:yVal>
            <c:numRef>
              <c:f>'Summary stats'!$B$1146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45"/>
          <c:order val="1145"/>
          <c:tx>
            <c:strRef>
              <c:f>'Summary stats'!$A$1147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stats'!$A$1147</c:f>
            </c:strRef>
          </c:xVal>
          <c:yVal>
            <c:numRef>
              <c:f>'Summary stats'!$B$1147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46"/>
          <c:order val="1146"/>
          <c:tx>
            <c:strRef>
              <c:f>'Summary stats'!$A$1148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stats'!$A$1148</c:f>
            </c:strRef>
          </c:xVal>
          <c:yVal>
            <c:numRef>
              <c:f>'Summary stats'!$B$1148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47"/>
          <c:order val="1147"/>
          <c:tx>
            <c:strRef>
              <c:f>'Summary stats'!$A$1149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stats'!$A$1149</c:f>
            </c:strRef>
          </c:xVal>
          <c:yVal>
            <c:numRef>
              <c:f>'Summary stats'!$B$1149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48"/>
          <c:order val="1148"/>
          <c:tx>
            <c:strRef>
              <c:f>'Summary stats'!$A$1150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stats'!$A$1150</c:f>
            </c:strRef>
          </c:xVal>
          <c:yVal>
            <c:numRef>
              <c:f>'Summary stats'!$B$1150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49"/>
          <c:order val="1149"/>
          <c:tx>
            <c:strRef>
              <c:f>'Summary stats'!$A$1151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stats'!$A$1151</c:f>
            </c:strRef>
          </c:xVal>
          <c:yVal>
            <c:numRef>
              <c:f>'Summary stats'!$B$1151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50"/>
          <c:order val="1150"/>
          <c:tx>
            <c:strRef>
              <c:f>'Summary stats'!$A$1152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stats'!$A$1152</c:f>
            </c:strRef>
          </c:xVal>
          <c:yVal>
            <c:numRef>
              <c:f>'Summary stats'!$B$1152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51"/>
          <c:order val="1151"/>
          <c:tx>
            <c:strRef>
              <c:f>'Summary stats'!$A$1153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stats'!$A$1153</c:f>
            </c:strRef>
          </c:xVal>
          <c:yVal>
            <c:numRef>
              <c:f>'Summary stats'!$B$1153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52"/>
          <c:order val="1152"/>
          <c:tx>
            <c:strRef>
              <c:f>'Summary stats'!$A$1154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stats'!$A$1154</c:f>
            </c:strRef>
          </c:xVal>
          <c:yVal>
            <c:numRef>
              <c:f>'Summary stats'!$B$1154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53"/>
          <c:order val="1153"/>
          <c:tx>
            <c:strRef>
              <c:f>'Summary stats'!$A$1155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stats'!$A$1155</c:f>
            </c:strRef>
          </c:xVal>
          <c:yVal>
            <c:numRef>
              <c:f>'Summary stats'!$B$1155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54"/>
          <c:order val="1154"/>
          <c:tx>
            <c:strRef>
              <c:f>'Summary stats'!$A$1156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stats'!$A$1156</c:f>
            </c:strRef>
          </c:xVal>
          <c:yVal>
            <c:numRef>
              <c:f>'Summary stats'!$B$1156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55"/>
          <c:order val="1155"/>
          <c:tx>
            <c:strRef>
              <c:f>'Summary stats'!$A$1157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stats'!$A$1157</c:f>
            </c:strRef>
          </c:xVal>
          <c:yVal>
            <c:numRef>
              <c:f>'Summary stats'!$B$1157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56"/>
          <c:order val="1156"/>
          <c:tx>
            <c:strRef>
              <c:f>'Summary stats'!$A$1158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stats'!$A$1158</c:f>
            </c:strRef>
          </c:xVal>
          <c:yVal>
            <c:numRef>
              <c:f>'Summary stats'!$B$1158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57"/>
          <c:order val="1157"/>
          <c:tx>
            <c:strRef>
              <c:f>'Summary stats'!$A$1159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stats'!$A$1159</c:f>
            </c:strRef>
          </c:xVal>
          <c:yVal>
            <c:numRef>
              <c:f>'Summary stats'!$B$1159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58"/>
          <c:order val="1158"/>
          <c:tx>
            <c:strRef>
              <c:f>'Summary stats'!$A$1160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stats'!$A$1160</c:f>
            </c:strRef>
          </c:xVal>
          <c:yVal>
            <c:numRef>
              <c:f>'Summary stats'!$B$1160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59"/>
          <c:order val="1159"/>
          <c:tx>
            <c:strRef>
              <c:f>'Summary stats'!$A$1161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stats'!$A$1161</c:f>
            </c:strRef>
          </c:xVal>
          <c:yVal>
            <c:numRef>
              <c:f>'Summary stats'!$B$1161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60"/>
          <c:order val="1160"/>
          <c:tx>
            <c:strRef>
              <c:f>'Summary stats'!$A$1162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stats'!$A$1162</c:f>
            </c:strRef>
          </c:xVal>
          <c:yVal>
            <c:numRef>
              <c:f>'Summary stats'!$B$1162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61"/>
          <c:order val="1161"/>
          <c:tx>
            <c:strRef>
              <c:f>'Summary stats'!$A$1163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stats'!$A$1163</c:f>
            </c:strRef>
          </c:xVal>
          <c:yVal>
            <c:numRef>
              <c:f>'Summary stats'!$B$1163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62"/>
          <c:order val="1162"/>
          <c:tx>
            <c:strRef>
              <c:f>'Summary stats'!$A$1164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stats'!$A$1164</c:f>
            </c:strRef>
          </c:xVal>
          <c:yVal>
            <c:numRef>
              <c:f>'Summary stats'!$B$1164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63"/>
          <c:order val="1163"/>
          <c:tx>
            <c:strRef>
              <c:f>'Summary stats'!$A$1165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stats'!$A$1165</c:f>
            </c:strRef>
          </c:xVal>
          <c:yVal>
            <c:numRef>
              <c:f>'Summary stats'!$B$1165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64"/>
          <c:order val="1164"/>
          <c:tx>
            <c:strRef>
              <c:f>'Summary stats'!$A$1166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stats'!$A$1166</c:f>
            </c:strRef>
          </c:xVal>
          <c:yVal>
            <c:numRef>
              <c:f>'Summary stats'!$B$1166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65"/>
          <c:order val="1165"/>
          <c:tx>
            <c:strRef>
              <c:f>'Summary stats'!$A$1167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stats'!$A$1167</c:f>
            </c:strRef>
          </c:xVal>
          <c:yVal>
            <c:numRef>
              <c:f>'Summary stats'!$B$1167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66"/>
          <c:order val="1166"/>
          <c:tx>
            <c:strRef>
              <c:f>'Summary stats'!$A$1168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stats'!$A$1168</c:f>
            </c:strRef>
          </c:xVal>
          <c:yVal>
            <c:numRef>
              <c:f>'Summary stats'!$B$1168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67"/>
          <c:order val="1167"/>
          <c:tx>
            <c:strRef>
              <c:f>'Summary stats'!$A$1169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stats'!$A$1169</c:f>
            </c:strRef>
          </c:xVal>
          <c:yVal>
            <c:numRef>
              <c:f>'Summary stats'!$B$1169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68"/>
          <c:order val="1168"/>
          <c:tx>
            <c:strRef>
              <c:f>'Summary stats'!$A$1170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stats'!$A$1170</c:f>
            </c:strRef>
          </c:xVal>
          <c:yVal>
            <c:numRef>
              <c:f>'Summary stats'!$B$1170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69"/>
          <c:order val="1169"/>
          <c:tx>
            <c:strRef>
              <c:f>'Summary stats'!$A$1171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stats'!$A$1171</c:f>
            </c:strRef>
          </c:xVal>
          <c:yVal>
            <c:numRef>
              <c:f>'Summary stats'!$B$1171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70"/>
          <c:order val="1170"/>
          <c:tx>
            <c:strRef>
              <c:f>'Summary stats'!$A$1172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stats'!$A$1172</c:f>
            </c:strRef>
          </c:xVal>
          <c:yVal>
            <c:numRef>
              <c:f>'Summary stats'!$B$1172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71"/>
          <c:order val="1171"/>
          <c:tx>
            <c:strRef>
              <c:f>'Summary stats'!$A$1173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stats'!$A$1173</c:f>
            </c:strRef>
          </c:xVal>
          <c:yVal>
            <c:numRef>
              <c:f>'Summary stats'!$B$1173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72"/>
          <c:order val="1172"/>
          <c:tx>
            <c:strRef>
              <c:f>'Summary stats'!$A$1174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stats'!$A$1174</c:f>
            </c:strRef>
          </c:xVal>
          <c:yVal>
            <c:numRef>
              <c:f>'Summary stats'!$B$1174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73"/>
          <c:order val="1173"/>
          <c:tx>
            <c:strRef>
              <c:f>'Summary stats'!$A$1175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stats'!$A$1175</c:f>
            </c:strRef>
          </c:xVal>
          <c:yVal>
            <c:numRef>
              <c:f>'Summary stats'!$B$1175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74"/>
          <c:order val="1174"/>
          <c:tx>
            <c:strRef>
              <c:f>'Summary stats'!$A$1176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stats'!$A$1176</c:f>
            </c:strRef>
          </c:xVal>
          <c:yVal>
            <c:numRef>
              <c:f>'Summary stats'!$B$1176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75"/>
          <c:order val="1175"/>
          <c:tx>
            <c:strRef>
              <c:f>'Summary stats'!$A$1177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stats'!$A$1177</c:f>
            </c:strRef>
          </c:xVal>
          <c:yVal>
            <c:numRef>
              <c:f>'Summary stats'!$B$1177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76"/>
          <c:order val="1176"/>
          <c:tx>
            <c:strRef>
              <c:f>'Summary stats'!$A$1178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stats'!$A$1178</c:f>
            </c:strRef>
          </c:xVal>
          <c:yVal>
            <c:numRef>
              <c:f>'Summary stats'!$B$1178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77"/>
          <c:order val="1177"/>
          <c:tx>
            <c:strRef>
              <c:f>'Summary stats'!$A$1179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stats'!$A$1179</c:f>
            </c:strRef>
          </c:xVal>
          <c:yVal>
            <c:numRef>
              <c:f>'Summary stats'!$B$1179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78"/>
          <c:order val="1178"/>
          <c:tx>
            <c:strRef>
              <c:f>'Summary stats'!$A$1180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stats'!$A$1180</c:f>
            </c:strRef>
          </c:xVal>
          <c:yVal>
            <c:numRef>
              <c:f>'Summary stats'!$B$1180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79"/>
          <c:order val="1179"/>
          <c:tx>
            <c:strRef>
              <c:f>'Summary stats'!$A$1181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stats'!$A$1181</c:f>
            </c:strRef>
          </c:xVal>
          <c:yVal>
            <c:numRef>
              <c:f>'Summary stats'!$B$1181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80"/>
          <c:order val="1180"/>
          <c:tx>
            <c:strRef>
              <c:f>'Summary stats'!$A$1182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stats'!$A$1182</c:f>
            </c:strRef>
          </c:xVal>
          <c:yVal>
            <c:numRef>
              <c:f>'Summary stats'!$B$1182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81"/>
          <c:order val="1181"/>
          <c:tx>
            <c:strRef>
              <c:f>'Summary stats'!$A$1183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stats'!$A$1183</c:f>
            </c:strRef>
          </c:xVal>
          <c:yVal>
            <c:numRef>
              <c:f>'Summary stats'!$B$1183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82"/>
          <c:order val="1182"/>
          <c:tx>
            <c:strRef>
              <c:f>'Summary stats'!$A$1184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stats'!$A$1184</c:f>
            </c:strRef>
          </c:xVal>
          <c:yVal>
            <c:numRef>
              <c:f>'Summary stats'!$B$1184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83"/>
          <c:order val="1183"/>
          <c:tx>
            <c:strRef>
              <c:f>'Summary stats'!$A$1185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stats'!$A$1185</c:f>
            </c:strRef>
          </c:xVal>
          <c:yVal>
            <c:numRef>
              <c:f>'Summary stats'!$B$1185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84"/>
          <c:order val="1184"/>
          <c:tx>
            <c:strRef>
              <c:f>'Summary stats'!$A$1186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stats'!$A$1186</c:f>
            </c:strRef>
          </c:xVal>
          <c:yVal>
            <c:numRef>
              <c:f>'Summary stats'!$B$1186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85"/>
          <c:order val="1185"/>
          <c:tx>
            <c:strRef>
              <c:f>'Summary stats'!$A$1187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stats'!$A$1187</c:f>
            </c:strRef>
          </c:xVal>
          <c:yVal>
            <c:numRef>
              <c:f>'Summary stats'!$B$1187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86"/>
          <c:order val="1186"/>
          <c:tx>
            <c:strRef>
              <c:f>'Summary stats'!$A$1188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stats'!$A$1188</c:f>
            </c:strRef>
          </c:xVal>
          <c:yVal>
            <c:numRef>
              <c:f>'Summary stats'!$B$1188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87"/>
          <c:order val="1187"/>
          <c:tx>
            <c:strRef>
              <c:f>'Summary stats'!$A$1189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stats'!$A$1189</c:f>
            </c:strRef>
          </c:xVal>
          <c:yVal>
            <c:numRef>
              <c:f>'Summary stats'!$B$1189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88"/>
          <c:order val="1188"/>
          <c:tx>
            <c:strRef>
              <c:f>'Summary stats'!$A$1190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stats'!$A$1190</c:f>
            </c:strRef>
          </c:xVal>
          <c:yVal>
            <c:numRef>
              <c:f>'Summary stats'!$B$1190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89"/>
          <c:order val="1189"/>
          <c:tx>
            <c:strRef>
              <c:f>'Summary stats'!$A$1191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stats'!$A$1191</c:f>
            </c:strRef>
          </c:xVal>
          <c:yVal>
            <c:numRef>
              <c:f>'Summary stats'!$B$1191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90"/>
          <c:order val="1190"/>
          <c:tx>
            <c:strRef>
              <c:f>'Summary stats'!$A$1192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stats'!$A$1192</c:f>
            </c:strRef>
          </c:xVal>
          <c:yVal>
            <c:numRef>
              <c:f>'Summary stats'!$B$1192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91"/>
          <c:order val="1191"/>
          <c:tx>
            <c:strRef>
              <c:f>'Summary stats'!$A$1193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stats'!$A$1193</c:f>
            </c:strRef>
          </c:xVal>
          <c:yVal>
            <c:numRef>
              <c:f>'Summary stats'!$B$1193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92"/>
          <c:order val="1192"/>
          <c:tx>
            <c:strRef>
              <c:f>'Summary stats'!$A$1194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stats'!$A$1194</c:f>
            </c:strRef>
          </c:xVal>
          <c:yVal>
            <c:numRef>
              <c:f>'Summary stats'!$B$1194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93"/>
          <c:order val="1193"/>
          <c:tx>
            <c:strRef>
              <c:f>'Summary stats'!$A$1195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stats'!$A$1195</c:f>
            </c:strRef>
          </c:xVal>
          <c:yVal>
            <c:numRef>
              <c:f>'Summary stats'!$B$1195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94"/>
          <c:order val="1194"/>
          <c:tx>
            <c:strRef>
              <c:f>'Summary stats'!$A$1196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stats'!$A$1196</c:f>
            </c:strRef>
          </c:xVal>
          <c:yVal>
            <c:numRef>
              <c:f>'Summary stats'!$B$1196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95"/>
          <c:order val="1195"/>
          <c:tx>
            <c:strRef>
              <c:f>'Summary stats'!$A$1197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stats'!$A$1197</c:f>
            </c:strRef>
          </c:xVal>
          <c:yVal>
            <c:numRef>
              <c:f>'Summary stats'!$B$1197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96"/>
          <c:order val="1196"/>
          <c:tx>
            <c:strRef>
              <c:f>'Summary stats'!$A$1198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stats'!$A$1198</c:f>
            </c:strRef>
          </c:xVal>
          <c:yVal>
            <c:numRef>
              <c:f>'Summary stats'!$B$1198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97"/>
          <c:order val="1197"/>
          <c:tx>
            <c:strRef>
              <c:f>'Summary stats'!$A$1199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stats'!$A$1199</c:f>
            </c:strRef>
          </c:xVal>
          <c:yVal>
            <c:numRef>
              <c:f>'Summary stats'!$B$1199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98"/>
          <c:order val="1198"/>
          <c:tx>
            <c:strRef>
              <c:f>'Summary stats'!$A$1200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stats'!$A$1200</c:f>
            </c:strRef>
          </c:xVal>
          <c:yVal>
            <c:numRef>
              <c:f>'Summary stats'!$B$1200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199"/>
          <c:order val="1199"/>
          <c:tx>
            <c:strRef>
              <c:f>'Summary stats'!$A$1201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stats'!$A$1201</c:f>
            </c:strRef>
          </c:xVal>
          <c:yVal>
            <c:numRef>
              <c:f>'Summary stats'!$B$1201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00"/>
          <c:order val="1200"/>
          <c:tx>
            <c:strRef>
              <c:f>'Summary stats'!$A$1202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stats'!$A$1202</c:f>
            </c:strRef>
          </c:xVal>
          <c:yVal>
            <c:numRef>
              <c:f>'Summary stats'!$B$1202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01"/>
          <c:order val="1201"/>
          <c:tx>
            <c:strRef>
              <c:f>'Summary stats'!$A$1203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stats'!$A$1203</c:f>
            </c:strRef>
          </c:xVal>
          <c:yVal>
            <c:numRef>
              <c:f>'Summary stats'!$B$1203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02"/>
          <c:order val="1202"/>
          <c:tx>
            <c:strRef>
              <c:f>'Summary stats'!$A$1204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stats'!$A$1204</c:f>
            </c:strRef>
          </c:xVal>
          <c:yVal>
            <c:numRef>
              <c:f>'Summary stats'!$B$1204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03"/>
          <c:order val="1203"/>
          <c:tx>
            <c:strRef>
              <c:f>'Summary stats'!$A$1205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stats'!$A$1205</c:f>
            </c:strRef>
          </c:xVal>
          <c:yVal>
            <c:numRef>
              <c:f>'Summary stats'!$B$1205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04"/>
          <c:order val="1204"/>
          <c:tx>
            <c:strRef>
              <c:f>'Summary stats'!$A$1206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stats'!$A$1206</c:f>
            </c:strRef>
          </c:xVal>
          <c:yVal>
            <c:numRef>
              <c:f>'Summary stats'!$B$1206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05"/>
          <c:order val="1205"/>
          <c:tx>
            <c:strRef>
              <c:f>'Summary stats'!$A$1207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stats'!$A$1207</c:f>
            </c:strRef>
          </c:xVal>
          <c:yVal>
            <c:numRef>
              <c:f>'Summary stats'!$B$1207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06"/>
          <c:order val="1206"/>
          <c:tx>
            <c:strRef>
              <c:f>'Summary stats'!$A$1208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stats'!$A$1208</c:f>
            </c:strRef>
          </c:xVal>
          <c:yVal>
            <c:numRef>
              <c:f>'Summary stats'!$B$1208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07"/>
          <c:order val="1207"/>
          <c:tx>
            <c:strRef>
              <c:f>'Summary stats'!$A$1209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stats'!$A$1209</c:f>
            </c:strRef>
          </c:xVal>
          <c:yVal>
            <c:numRef>
              <c:f>'Summary stats'!$B$1209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08"/>
          <c:order val="1208"/>
          <c:tx>
            <c:strRef>
              <c:f>'Summary stats'!$A$1210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stats'!$A$1210</c:f>
            </c:strRef>
          </c:xVal>
          <c:yVal>
            <c:numRef>
              <c:f>'Summary stats'!$B$1210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09"/>
          <c:order val="1209"/>
          <c:tx>
            <c:strRef>
              <c:f>'Summary stats'!$A$1211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stats'!$A$1211</c:f>
            </c:strRef>
          </c:xVal>
          <c:yVal>
            <c:numRef>
              <c:f>'Summary stats'!$B$1211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10"/>
          <c:order val="1210"/>
          <c:tx>
            <c:strRef>
              <c:f>'Summary stats'!$A$1212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stats'!$A$1212</c:f>
            </c:strRef>
          </c:xVal>
          <c:yVal>
            <c:numRef>
              <c:f>'Summary stats'!$B$1212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11"/>
          <c:order val="1211"/>
          <c:tx>
            <c:strRef>
              <c:f>'Summary stats'!$A$1213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stats'!$A$1213</c:f>
            </c:strRef>
          </c:xVal>
          <c:yVal>
            <c:numRef>
              <c:f>'Summary stats'!$B$1213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12"/>
          <c:order val="1212"/>
          <c:tx>
            <c:strRef>
              <c:f>'Summary stats'!$A$1214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stats'!$A$1214</c:f>
            </c:strRef>
          </c:xVal>
          <c:yVal>
            <c:numRef>
              <c:f>'Summary stats'!$B$1214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13"/>
          <c:order val="1213"/>
          <c:tx>
            <c:strRef>
              <c:f>'Summary stats'!$A$1215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stats'!$A$1215</c:f>
            </c:strRef>
          </c:xVal>
          <c:yVal>
            <c:numRef>
              <c:f>'Summary stats'!$B$1215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14"/>
          <c:order val="1214"/>
          <c:tx>
            <c:strRef>
              <c:f>'Summary stats'!$A$1216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stats'!$A$1216</c:f>
            </c:strRef>
          </c:xVal>
          <c:yVal>
            <c:numRef>
              <c:f>'Summary stats'!$B$1216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15"/>
          <c:order val="1215"/>
          <c:tx>
            <c:strRef>
              <c:f>'Summary stats'!$A$1217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stats'!$A$1217</c:f>
            </c:strRef>
          </c:xVal>
          <c:yVal>
            <c:numRef>
              <c:f>'Summary stats'!$B$1217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16"/>
          <c:order val="1216"/>
          <c:tx>
            <c:strRef>
              <c:f>'Summary stats'!$A$1218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stats'!$A$1218</c:f>
            </c:strRef>
          </c:xVal>
          <c:yVal>
            <c:numRef>
              <c:f>'Summary stats'!$B$1218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17"/>
          <c:order val="1217"/>
          <c:tx>
            <c:strRef>
              <c:f>'Summary stats'!$A$1219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stats'!$A$1219</c:f>
            </c:strRef>
          </c:xVal>
          <c:yVal>
            <c:numRef>
              <c:f>'Summary stats'!$B$1219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18"/>
          <c:order val="1218"/>
          <c:tx>
            <c:strRef>
              <c:f>'Summary stats'!$A$1220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stats'!$A$1220</c:f>
            </c:strRef>
          </c:xVal>
          <c:yVal>
            <c:numRef>
              <c:f>'Summary stats'!$B$1220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19"/>
          <c:order val="1219"/>
          <c:tx>
            <c:strRef>
              <c:f>'Summary stats'!$A$1221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stats'!$A$1221</c:f>
            </c:strRef>
          </c:xVal>
          <c:yVal>
            <c:numRef>
              <c:f>'Summary stats'!$B$1221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20"/>
          <c:order val="1220"/>
          <c:tx>
            <c:strRef>
              <c:f>'Summary stats'!$A$1222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stats'!$A$1222</c:f>
            </c:strRef>
          </c:xVal>
          <c:yVal>
            <c:numRef>
              <c:f>'Summary stats'!$B$1222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21"/>
          <c:order val="1221"/>
          <c:tx>
            <c:strRef>
              <c:f>'Summary stats'!$A$1223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stats'!$A$1223</c:f>
            </c:strRef>
          </c:xVal>
          <c:yVal>
            <c:numRef>
              <c:f>'Summary stats'!$B$1223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22"/>
          <c:order val="1222"/>
          <c:tx>
            <c:strRef>
              <c:f>'Summary stats'!$A$1224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stats'!$A$1224</c:f>
            </c:strRef>
          </c:xVal>
          <c:yVal>
            <c:numRef>
              <c:f>'Summary stats'!$B$1224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23"/>
          <c:order val="1223"/>
          <c:tx>
            <c:strRef>
              <c:f>'Summary stats'!$A$1225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stats'!$A$1225</c:f>
            </c:strRef>
          </c:xVal>
          <c:yVal>
            <c:numRef>
              <c:f>'Summary stats'!$B$1225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24"/>
          <c:order val="1224"/>
          <c:tx>
            <c:strRef>
              <c:f>'Summary stats'!$A$1226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stats'!$A$1226</c:f>
            </c:strRef>
          </c:xVal>
          <c:yVal>
            <c:numRef>
              <c:f>'Summary stats'!$B$1226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25"/>
          <c:order val="1225"/>
          <c:tx>
            <c:strRef>
              <c:f>'Summary stats'!$A$1227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stats'!$A$1227</c:f>
            </c:strRef>
          </c:xVal>
          <c:yVal>
            <c:numRef>
              <c:f>'Summary stats'!$B$1227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26"/>
          <c:order val="1226"/>
          <c:tx>
            <c:strRef>
              <c:f>'Summary stats'!$A$1228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stats'!$A$1228</c:f>
            </c:strRef>
          </c:xVal>
          <c:yVal>
            <c:numRef>
              <c:f>'Summary stats'!$B$1228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27"/>
          <c:order val="1227"/>
          <c:tx>
            <c:strRef>
              <c:f>'Summary stats'!$A$1229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stats'!$A$1229</c:f>
            </c:strRef>
          </c:xVal>
          <c:yVal>
            <c:numRef>
              <c:f>'Summary stats'!$B$1229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28"/>
          <c:order val="1228"/>
          <c:tx>
            <c:strRef>
              <c:f>'Summary stats'!$A$1230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stats'!$A$1230</c:f>
            </c:strRef>
          </c:xVal>
          <c:yVal>
            <c:numRef>
              <c:f>'Summary stats'!$B$1230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29"/>
          <c:order val="1229"/>
          <c:tx>
            <c:strRef>
              <c:f>'Summary stats'!$A$1231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stats'!$A$1231</c:f>
            </c:strRef>
          </c:xVal>
          <c:yVal>
            <c:numRef>
              <c:f>'Summary stats'!$B$1231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30"/>
          <c:order val="1230"/>
          <c:tx>
            <c:strRef>
              <c:f>'Summary stats'!$A$1232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stats'!$A$1232</c:f>
            </c:strRef>
          </c:xVal>
          <c:yVal>
            <c:numRef>
              <c:f>'Summary stats'!$B$1232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31"/>
          <c:order val="1231"/>
          <c:tx>
            <c:strRef>
              <c:f>'Summary stats'!$A$1233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stats'!$A$1233</c:f>
            </c:strRef>
          </c:xVal>
          <c:yVal>
            <c:numRef>
              <c:f>'Summary stats'!$B$1233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32"/>
          <c:order val="1232"/>
          <c:tx>
            <c:strRef>
              <c:f>'Summary stats'!$A$1234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stats'!$A$1234</c:f>
            </c:strRef>
          </c:xVal>
          <c:yVal>
            <c:numRef>
              <c:f>'Summary stats'!$B$1234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33"/>
          <c:order val="1233"/>
          <c:tx>
            <c:strRef>
              <c:f>'Summary stats'!$A$1235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stats'!$A$1235</c:f>
            </c:strRef>
          </c:xVal>
          <c:yVal>
            <c:numRef>
              <c:f>'Summary stats'!$B$1235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34"/>
          <c:order val="1234"/>
          <c:tx>
            <c:strRef>
              <c:f>'Summary stats'!$A$1236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stats'!$A$1236</c:f>
            </c:strRef>
          </c:xVal>
          <c:yVal>
            <c:numRef>
              <c:f>'Summary stats'!$B$1236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35"/>
          <c:order val="1235"/>
          <c:tx>
            <c:strRef>
              <c:f>'Summary stats'!$A$1237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stats'!$A$1237</c:f>
            </c:strRef>
          </c:xVal>
          <c:yVal>
            <c:numRef>
              <c:f>'Summary stats'!$B$1237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36"/>
          <c:order val="1236"/>
          <c:tx>
            <c:strRef>
              <c:f>'Summary stats'!$A$1238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stats'!$A$1238</c:f>
            </c:strRef>
          </c:xVal>
          <c:yVal>
            <c:numRef>
              <c:f>'Summary stats'!$B$1238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37"/>
          <c:order val="1237"/>
          <c:tx>
            <c:strRef>
              <c:f>'Summary stats'!$A$1239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stats'!$A$1239</c:f>
            </c:strRef>
          </c:xVal>
          <c:yVal>
            <c:numRef>
              <c:f>'Summary stats'!$B$1239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38"/>
          <c:order val="1238"/>
          <c:tx>
            <c:strRef>
              <c:f>'Summary stats'!$A$1240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stats'!$A$1240</c:f>
            </c:strRef>
          </c:xVal>
          <c:yVal>
            <c:numRef>
              <c:f>'Summary stats'!$B$1240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39"/>
          <c:order val="1239"/>
          <c:tx>
            <c:strRef>
              <c:f>'Summary stats'!$A$1241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stats'!$A$1241</c:f>
            </c:strRef>
          </c:xVal>
          <c:yVal>
            <c:numRef>
              <c:f>'Summary stats'!$B$1241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40"/>
          <c:order val="1240"/>
          <c:tx>
            <c:strRef>
              <c:f>'Summary stats'!$A$1242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stats'!$A$1242</c:f>
            </c:strRef>
          </c:xVal>
          <c:yVal>
            <c:numRef>
              <c:f>'Summary stats'!$B$1242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41"/>
          <c:order val="1241"/>
          <c:tx>
            <c:strRef>
              <c:f>'Summary stats'!$A$1243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stats'!$A$1243</c:f>
            </c:strRef>
          </c:xVal>
          <c:yVal>
            <c:numRef>
              <c:f>'Summary stats'!$B$1243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42"/>
          <c:order val="1242"/>
          <c:tx>
            <c:strRef>
              <c:f>'Summary stats'!$A$1244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stats'!$A$1244</c:f>
            </c:strRef>
          </c:xVal>
          <c:yVal>
            <c:numRef>
              <c:f>'Summary stats'!$B$1244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43"/>
          <c:order val="1243"/>
          <c:tx>
            <c:strRef>
              <c:f>'Summary stats'!$A$1245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stats'!$A$1245</c:f>
            </c:strRef>
          </c:xVal>
          <c:yVal>
            <c:numRef>
              <c:f>'Summary stats'!$B$1245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44"/>
          <c:order val="1244"/>
          <c:tx>
            <c:strRef>
              <c:f>'Summary stats'!$A$1246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stats'!$A$1246</c:f>
            </c:strRef>
          </c:xVal>
          <c:yVal>
            <c:numRef>
              <c:f>'Summary stats'!$B$1246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45"/>
          <c:order val="1245"/>
          <c:tx>
            <c:strRef>
              <c:f>'Summary stats'!$A$1247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stats'!$A$1247</c:f>
            </c:strRef>
          </c:xVal>
          <c:yVal>
            <c:numRef>
              <c:f>'Summary stats'!$B$1247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46"/>
          <c:order val="1246"/>
          <c:tx>
            <c:strRef>
              <c:f>'Summary stats'!$A$1248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stats'!$A$1248</c:f>
            </c:strRef>
          </c:xVal>
          <c:yVal>
            <c:numRef>
              <c:f>'Summary stats'!$B$1248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47"/>
          <c:order val="1247"/>
          <c:tx>
            <c:strRef>
              <c:f>'Summary stats'!$A$1249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stats'!$A$1249</c:f>
            </c:strRef>
          </c:xVal>
          <c:yVal>
            <c:numRef>
              <c:f>'Summary stats'!$B$1249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48"/>
          <c:order val="1248"/>
          <c:tx>
            <c:strRef>
              <c:f>'Summary stats'!$A$1250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stats'!$A$1250</c:f>
            </c:strRef>
          </c:xVal>
          <c:yVal>
            <c:numRef>
              <c:f>'Summary stats'!$B$1250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49"/>
          <c:order val="1249"/>
          <c:tx>
            <c:strRef>
              <c:f>'Summary stats'!$A$1251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stats'!$A$1251</c:f>
            </c:strRef>
          </c:xVal>
          <c:yVal>
            <c:numRef>
              <c:f>'Summary stats'!$B$1251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50"/>
          <c:order val="1250"/>
          <c:tx>
            <c:strRef>
              <c:f>'Summary stats'!$A$1252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stats'!$A$1252</c:f>
            </c:strRef>
          </c:xVal>
          <c:yVal>
            <c:numRef>
              <c:f>'Summary stats'!$B$1252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51"/>
          <c:order val="1251"/>
          <c:tx>
            <c:strRef>
              <c:f>'Summary stats'!$A$1253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stats'!$A$1253</c:f>
            </c:strRef>
          </c:xVal>
          <c:yVal>
            <c:numRef>
              <c:f>'Summary stats'!$B$1253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52"/>
          <c:order val="1252"/>
          <c:tx>
            <c:strRef>
              <c:f>'Summary stats'!$A$1254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stats'!$A$1254</c:f>
            </c:strRef>
          </c:xVal>
          <c:yVal>
            <c:numRef>
              <c:f>'Summary stats'!$B$1254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53"/>
          <c:order val="1253"/>
          <c:tx>
            <c:strRef>
              <c:f>'Summary stats'!$A$1255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stats'!$A$1255</c:f>
            </c:strRef>
          </c:xVal>
          <c:yVal>
            <c:numRef>
              <c:f>'Summary stats'!$B$1255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54"/>
          <c:order val="1254"/>
          <c:tx>
            <c:strRef>
              <c:f>'Summary stats'!$A$1256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stats'!$A$1256</c:f>
            </c:strRef>
          </c:xVal>
          <c:yVal>
            <c:numRef>
              <c:f>'Summary stats'!$B$1256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55"/>
          <c:order val="1255"/>
          <c:tx>
            <c:strRef>
              <c:f>'Summary stats'!$A$1257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stats'!$A$1257</c:f>
            </c:strRef>
          </c:xVal>
          <c:yVal>
            <c:numRef>
              <c:f>'Summary stats'!$B$1257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56"/>
          <c:order val="1256"/>
          <c:tx>
            <c:strRef>
              <c:f>'Summary stats'!$A$1258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stats'!$A$1258</c:f>
            </c:strRef>
          </c:xVal>
          <c:yVal>
            <c:numRef>
              <c:f>'Summary stats'!$B$1258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57"/>
          <c:order val="1257"/>
          <c:tx>
            <c:strRef>
              <c:f>'Summary stats'!$A$1259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stats'!$A$1259</c:f>
            </c:strRef>
          </c:xVal>
          <c:yVal>
            <c:numRef>
              <c:f>'Summary stats'!$B$1259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58"/>
          <c:order val="1258"/>
          <c:tx>
            <c:strRef>
              <c:f>'Summary stats'!$A$1260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stats'!$A$1260</c:f>
            </c:strRef>
          </c:xVal>
          <c:yVal>
            <c:numRef>
              <c:f>'Summary stats'!$B$1260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59"/>
          <c:order val="1259"/>
          <c:tx>
            <c:strRef>
              <c:f>'Summary stats'!$A$1261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stats'!$A$1261</c:f>
            </c:strRef>
          </c:xVal>
          <c:yVal>
            <c:numRef>
              <c:f>'Summary stats'!$B$1261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60"/>
          <c:order val="1260"/>
          <c:tx>
            <c:strRef>
              <c:f>'Summary stats'!$A$1262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stats'!$A$1262</c:f>
            </c:strRef>
          </c:xVal>
          <c:yVal>
            <c:numRef>
              <c:f>'Summary stats'!$B$1262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61"/>
          <c:order val="1261"/>
          <c:tx>
            <c:strRef>
              <c:f>'Summary stats'!$A$1263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stats'!$A$1263</c:f>
            </c:strRef>
          </c:xVal>
          <c:yVal>
            <c:numRef>
              <c:f>'Summary stats'!$B$1263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62"/>
          <c:order val="1262"/>
          <c:tx>
            <c:strRef>
              <c:f>'Summary stats'!$A$1264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stats'!$A$1264</c:f>
            </c:strRef>
          </c:xVal>
          <c:yVal>
            <c:numRef>
              <c:f>'Summary stats'!$B$1264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63"/>
          <c:order val="1263"/>
          <c:tx>
            <c:strRef>
              <c:f>'Summary stats'!$A$1265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stats'!$A$1265</c:f>
            </c:strRef>
          </c:xVal>
          <c:yVal>
            <c:numRef>
              <c:f>'Summary stats'!$B$1265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64"/>
          <c:order val="1264"/>
          <c:tx>
            <c:strRef>
              <c:f>'Summary stats'!$A$1266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stats'!$A$1266</c:f>
            </c:strRef>
          </c:xVal>
          <c:yVal>
            <c:numRef>
              <c:f>'Summary stats'!$B$1266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65"/>
          <c:order val="1265"/>
          <c:tx>
            <c:strRef>
              <c:f>'Summary stats'!$A$1267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stats'!$A$1267</c:f>
            </c:strRef>
          </c:xVal>
          <c:yVal>
            <c:numRef>
              <c:f>'Summary stats'!$B$1267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66"/>
          <c:order val="1266"/>
          <c:tx>
            <c:strRef>
              <c:f>'Summary stats'!$A$1268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stats'!$A$1268</c:f>
            </c:strRef>
          </c:xVal>
          <c:yVal>
            <c:numRef>
              <c:f>'Summary stats'!$B$1268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67"/>
          <c:order val="1267"/>
          <c:tx>
            <c:strRef>
              <c:f>'Summary stats'!$A$1269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stats'!$A$1269</c:f>
            </c:strRef>
          </c:xVal>
          <c:yVal>
            <c:numRef>
              <c:f>'Summary stats'!$B$1269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68"/>
          <c:order val="1268"/>
          <c:tx>
            <c:strRef>
              <c:f>'Summary stats'!$A$1270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stats'!$A$1270</c:f>
            </c:strRef>
          </c:xVal>
          <c:yVal>
            <c:numRef>
              <c:f>'Summary stats'!$B$1270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69"/>
          <c:order val="1269"/>
          <c:tx>
            <c:strRef>
              <c:f>'Summary stats'!$A$1271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stats'!$A$1271</c:f>
            </c:strRef>
          </c:xVal>
          <c:yVal>
            <c:numRef>
              <c:f>'Summary stats'!$B$1271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70"/>
          <c:order val="1270"/>
          <c:tx>
            <c:strRef>
              <c:f>'Summary stats'!$A$1272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stats'!$A$1272</c:f>
            </c:strRef>
          </c:xVal>
          <c:yVal>
            <c:numRef>
              <c:f>'Summary stats'!$B$1272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71"/>
          <c:order val="1271"/>
          <c:tx>
            <c:strRef>
              <c:f>'Summary stats'!$A$1273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stats'!$A$1273</c:f>
            </c:strRef>
          </c:xVal>
          <c:yVal>
            <c:numRef>
              <c:f>'Summary stats'!$B$1273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72"/>
          <c:order val="1272"/>
          <c:tx>
            <c:strRef>
              <c:f>'Summary stats'!$A$1274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stats'!$A$1274</c:f>
            </c:strRef>
          </c:xVal>
          <c:yVal>
            <c:numRef>
              <c:f>'Summary stats'!$B$1274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73"/>
          <c:order val="1273"/>
          <c:tx>
            <c:strRef>
              <c:f>'Summary stats'!$A$1275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stats'!$A$1275</c:f>
            </c:strRef>
          </c:xVal>
          <c:yVal>
            <c:numRef>
              <c:f>'Summary stats'!$B$1275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74"/>
          <c:order val="1274"/>
          <c:tx>
            <c:strRef>
              <c:f>'Summary stats'!$A$1276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stats'!$A$1276</c:f>
            </c:strRef>
          </c:xVal>
          <c:yVal>
            <c:numRef>
              <c:f>'Summary stats'!$B$1276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75"/>
          <c:order val="1275"/>
          <c:tx>
            <c:strRef>
              <c:f>'Summary stats'!$A$1277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stats'!$A$1277</c:f>
            </c:strRef>
          </c:xVal>
          <c:yVal>
            <c:numRef>
              <c:f>'Summary stats'!$B$1277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76"/>
          <c:order val="1276"/>
          <c:tx>
            <c:strRef>
              <c:f>'Summary stats'!$A$1278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stats'!$A$1278</c:f>
            </c:strRef>
          </c:xVal>
          <c:yVal>
            <c:numRef>
              <c:f>'Summary stats'!$B$1278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77"/>
          <c:order val="1277"/>
          <c:tx>
            <c:strRef>
              <c:f>'Summary stats'!$A$1279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stats'!$A$1279</c:f>
            </c:strRef>
          </c:xVal>
          <c:yVal>
            <c:numRef>
              <c:f>'Summary stats'!$B$1279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78"/>
          <c:order val="1278"/>
          <c:tx>
            <c:strRef>
              <c:f>'Summary stats'!$A$1280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stats'!$A$1280</c:f>
            </c:strRef>
          </c:xVal>
          <c:yVal>
            <c:numRef>
              <c:f>'Summary stats'!$B$1280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79"/>
          <c:order val="1279"/>
          <c:tx>
            <c:strRef>
              <c:f>'Summary stats'!$A$1281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stats'!$A$1281</c:f>
            </c:strRef>
          </c:xVal>
          <c:yVal>
            <c:numRef>
              <c:f>'Summary stats'!$B$1281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80"/>
          <c:order val="1280"/>
          <c:tx>
            <c:strRef>
              <c:f>'Summary stats'!$A$1282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stats'!$A$1282</c:f>
            </c:strRef>
          </c:xVal>
          <c:yVal>
            <c:numRef>
              <c:f>'Summary stats'!$B$1282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81"/>
          <c:order val="1281"/>
          <c:tx>
            <c:strRef>
              <c:f>'Summary stats'!$A$1283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stats'!$A$1283</c:f>
            </c:strRef>
          </c:xVal>
          <c:yVal>
            <c:numRef>
              <c:f>'Summary stats'!$B$1283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82"/>
          <c:order val="1282"/>
          <c:tx>
            <c:strRef>
              <c:f>'Summary stats'!$A$1284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stats'!$A$1284</c:f>
            </c:strRef>
          </c:xVal>
          <c:yVal>
            <c:numRef>
              <c:f>'Summary stats'!$B$1284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83"/>
          <c:order val="1283"/>
          <c:tx>
            <c:strRef>
              <c:f>'Summary stats'!$A$1285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stats'!$A$1285</c:f>
            </c:strRef>
          </c:xVal>
          <c:yVal>
            <c:numRef>
              <c:f>'Summary stats'!$B$1285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84"/>
          <c:order val="1284"/>
          <c:tx>
            <c:strRef>
              <c:f>'Summary stats'!$A$1286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stats'!$A$1286</c:f>
            </c:strRef>
          </c:xVal>
          <c:yVal>
            <c:numRef>
              <c:f>'Summary stats'!$B$1286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85"/>
          <c:order val="1285"/>
          <c:tx>
            <c:strRef>
              <c:f>'Summary stats'!$A$1287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stats'!$A$1287</c:f>
            </c:strRef>
          </c:xVal>
          <c:yVal>
            <c:numRef>
              <c:f>'Summary stats'!$B$1287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86"/>
          <c:order val="1286"/>
          <c:tx>
            <c:strRef>
              <c:f>'Summary stats'!$A$1288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stats'!$A$1288</c:f>
            </c:strRef>
          </c:xVal>
          <c:yVal>
            <c:numRef>
              <c:f>'Summary stats'!$B$1288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87"/>
          <c:order val="1287"/>
          <c:tx>
            <c:strRef>
              <c:f>'Summary stats'!$A$1289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stats'!$A$1289</c:f>
            </c:strRef>
          </c:xVal>
          <c:yVal>
            <c:numRef>
              <c:f>'Summary stats'!$B$1289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88"/>
          <c:order val="1288"/>
          <c:tx>
            <c:strRef>
              <c:f>'Summary stats'!$A$1290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stats'!$A$1290</c:f>
            </c:strRef>
          </c:xVal>
          <c:yVal>
            <c:numRef>
              <c:f>'Summary stats'!$B$1290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89"/>
          <c:order val="1289"/>
          <c:tx>
            <c:strRef>
              <c:f>'Summary stats'!$A$1291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stats'!$A$1291</c:f>
            </c:strRef>
          </c:xVal>
          <c:yVal>
            <c:numRef>
              <c:f>'Summary stats'!$B$1291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90"/>
          <c:order val="1290"/>
          <c:tx>
            <c:strRef>
              <c:f>'Summary stats'!$A$1292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stats'!$A$1292</c:f>
            </c:strRef>
          </c:xVal>
          <c:yVal>
            <c:numRef>
              <c:f>'Summary stats'!$B$1292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91"/>
          <c:order val="1291"/>
          <c:tx>
            <c:strRef>
              <c:f>'Summary stats'!$A$1293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stats'!$A$1293</c:f>
            </c:strRef>
          </c:xVal>
          <c:yVal>
            <c:numRef>
              <c:f>'Summary stats'!$B$1293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92"/>
          <c:order val="1292"/>
          <c:tx>
            <c:strRef>
              <c:f>'Summary stats'!$A$1294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stats'!$A$1294</c:f>
            </c:strRef>
          </c:xVal>
          <c:yVal>
            <c:numRef>
              <c:f>'Summary stats'!$B$1294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93"/>
          <c:order val="1293"/>
          <c:tx>
            <c:strRef>
              <c:f>'Summary stats'!$A$1295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stats'!$A$1295</c:f>
            </c:strRef>
          </c:xVal>
          <c:yVal>
            <c:numRef>
              <c:f>'Summary stats'!$B$1295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94"/>
          <c:order val="1294"/>
          <c:tx>
            <c:strRef>
              <c:f>'Summary stats'!$A$1296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stats'!$A$1296</c:f>
            </c:strRef>
          </c:xVal>
          <c:yVal>
            <c:numRef>
              <c:f>'Summary stats'!$B$1296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95"/>
          <c:order val="1295"/>
          <c:tx>
            <c:strRef>
              <c:f>'Summary stats'!$A$1297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stats'!$A$1297</c:f>
            </c:strRef>
          </c:xVal>
          <c:yVal>
            <c:numRef>
              <c:f>'Summary stats'!$B$1297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96"/>
          <c:order val="1296"/>
          <c:tx>
            <c:strRef>
              <c:f>'Summary stats'!$A$1298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stats'!$A$1298</c:f>
            </c:strRef>
          </c:xVal>
          <c:yVal>
            <c:numRef>
              <c:f>'Summary stats'!$B$1298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97"/>
          <c:order val="1297"/>
          <c:tx>
            <c:strRef>
              <c:f>'Summary stats'!$A$1299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stats'!$A$1299</c:f>
            </c:strRef>
          </c:xVal>
          <c:yVal>
            <c:numRef>
              <c:f>'Summary stats'!$B$1299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98"/>
          <c:order val="1298"/>
          <c:tx>
            <c:strRef>
              <c:f>'Summary stats'!$A$1300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stats'!$A$1300</c:f>
            </c:strRef>
          </c:xVal>
          <c:yVal>
            <c:numRef>
              <c:f>'Summary stats'!$B$1300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299"/>
          <c:order val="1299"/>
          <c:tx>
            <c:strRef>
              <c:f>'Summary stats'!$A$1301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stats'!$A$1301</c:f>
            </c:strRef>
          </c:xVal>
          <c:yVal>
            <c:numRef>
              <c:f>'Summary stats'!$B$1301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00"/>
          <c:order val="1300"/>
          <c:tx>
            <c:strRef>
              <c:f>'Summary stats'!$A$1302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stats'!$A$1302</c:f>
            </c:strRef>
          </c:xVal>
          <c:yVal>
            <c:numRef>
              <c:f>'Summary stats'!$B$1302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01"/>
          <c:order val="1301"/>
          <c:tx>
            <c:strRef>
              <c:f>'Summary stats'!$A$1303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stats'!$A$1303</c:f>
            </c:strRef>
          </c:xVal>
          <c:yVal>
            <c:numRef>
              <c:f>'Summary stats'!$B$1303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02"/>
          <c:order val="1302"/>
          <c:tx>
            <c:strRef>
              <c:f>'Summary stats'!$A$1304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stats'!$A$1304</c:f>
            </c:strRef>
          </c:xVal>
          <c:yVal>
            <c:numRef>
              <c:f>'Summary stats'!$B$1304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03"/>
          <c:order val="1303"/>
          <c:tx>
            <c:strRef>
              <c:f>'Summary stats'!$A$1305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stats'!$A$1305</c:f>
            </c:strRef>
          </c:xVal>
          <c:yVal>
            <c:numRef>
              <c:f>'Summary stats'!$B$1305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04"/>
          <c:order val="1304"/>
          <c:tx>
            <c:strRef>
              <c:f>'Summary stats'!$A$1306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stats'!$A$1306</c:f>
            </c:strRef>
          </c:xVal>
          <c:yVal>
            <c:numRef>
              <c:f>'Summary stats'!$B$1306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05"/>
          <c:order val="1305"/>
          <c:tx>
            <c:strRef>
              <c:f>'Summary stats'!$A$1307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stats'!$A$1307</c:f>
            </c:strRef>
          </c:xVal>
          <c:yVal>
            <c:numRef>
              <c:f>'Summary stats'!$B$1307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06"/>
          <c:order val="1306"/>
          <c:tx>
            <c:strRef>
              <c:f>'Summary stats'!$A$1308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stats'!$A$1308</c:f>
            </c:strRef>
          </c:xVal>
          <c:yVal>
            <c:numRef>
              <c:f>'Summary stats'!$B$1308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07"/>
          <c:order val="1307"/>
          <c:tx>
            <c:strRef>
              <c:f>'Summary stats'!$A$1309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stats'!$A$1309</c:f>
            </c:strRef>
          </c:xVal>
          <c:yVal>
            <c:numRef>
              <c:f>'Summary stats'!$B$1309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08"/>
          <c:order val="1308"/>
          <c:tx>
            <c:strRef>
              <c:f>'Summary stats'!$A$1310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stats'!$A$1310</c:f>
            </c:strRef>
          </c:xVal>
          <c:yVal>
            <c:numRef>
              <c:f>'Summary stats'!$B$1310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09"/>
          <c:order val="1309"/>
          <c:tx>
            <c:strRef>
              <c:f>'Summary stats'!$A$1311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stats'!$A$1311</c:f>
            </c:strRef>
          </c:xVal>
          <c:yVal>
            <c:numRef>
              <c:f>'Summary stats'!$B$1311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10"/>
          <c:order val="1310"/>
          <c:tx>
            <c:strRef>
              <c:f>'Summary stats'!$A$1312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stats'!$A$1312</c:f>
            </c:strRef>
          </c:xVal>
          <c:yVal>
            <c:numRef>
              <c:f>'Summary stats'!$B$1312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11"/>
          <c:order val="1311"/>
          <c:tx>
            <c:strRef>
              <c:f>'Summary stats'!$A$1313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stats'!$A$1313</c:f>
            </c:strRef>
          </c:xVal>
          <c:yVal>
            <c:numRef>
              <c:f>'Summary stats'!$B$1313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12"/>
          <c:order val="1312"/>
          <c:tx>
            <c:strRef>
              <c:f>'Summary stats'!$A$1314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stats'!$A$1314</c:f>
            </c:strRef>
          </c:xVal>
          <c:yVal>
            <c:numRef>
              <c:f>'Summary stats'!$B$1314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13"/>
          <c:order val="1313"/>
          <c:tx>
            <c:strRef>
              <c:f>'Summary stats'!$A$1315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stats'!$A$1315</c:f>
            </c:strRef>
          </c:xVal>
          <c:yVal>
            <c:numRef>
              <c:f>'Summary stats'!$B$1315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14"/>
          <c:order val="1314"/>
          <c:tx>
            <c:strRef>
              <c:f>'Summary stats'!$A$1316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stats'!$A$1316</c:f>
            </c:strRef>
          </c:xVal>
          <c:yVal>
            <c:numRef>
              <c:f>'Summary stats'!$B$1316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15"/>
          <c:order val="1315"/>
          <c:tx>
            <c:strRef>
              <c:f>'Summary stats'!$A$1317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stats'!$A$1317</c:f>
            </c:strRef>
          </c:xVal>
          <c:yVal>
            <c:numRef>
              <c:f>'Summary stats'!$B$1317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16"/>
          <c:order val="1316"/>
          <c:tx>
            <c:strRef>
              <c:f>'Summary stats'!$A$1318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stats'!$A$1318</c:f>
            </c:strRef>
          </c:xVal>
          <c:yVal>
            <c:numRef>
              <c:f>'Summary stats'!$B$1318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17"/>
          <c:order val="1317"/>
          <c:tx>
            <c:strRef>
              <c:f>'Summary stats'!$A$1319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stats'!$A$1319</c:f>
            </c:strRef>
          </c:xVal>
          <c:yVal>
            <c:numRef>
              <c:f>'Summary stats'!$B$1319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18"/>
          <c:order val="1318"/>
          <c:tx>
            <c:strRef>
              <c:f>'Summary stats'!$A$1320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stats'!$A$1320</c:f>
            </c:strRef>
          </c:xVal>
          <c:yVal>
            <c:numRef>
              <c:f>'Summary stats'!$B$1320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19"/>
          <c:order val="1319"/>
          <c:tx>
            <c:strRef>
              <c:f>'Summary stats'!$A$1321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stats'!$A$1321</c:f>
            </c:strRef>
          </c:xVal>
          <c:yVal>
            <c:numRef>
              <c:f>'Summary stats'!$B$1321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20"/>
          <c:order val="1320"/>
          <c:tx>
            <c:strRef>
              <c:f>'Summary stats'!$A$1322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stats'!$A$1322</c:f>
            </c:strRef>
          </c:xVal>
          <c:yVal>
            <c:numRef>
              <c:f>'Summary stats'!$B$1322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21"/>
          <c:order val="1321"/>
          <c:tx>
            <c:strRef>
              <c:f>'Summary stats'!$A$1323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stats'!$A$1323</c:f>
            </c:strRef>
          </c:xVal>
          <c:yVal>
            <c:numRef>
              <c:f>'Summary stats'!$B$1323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22"/>
          <c:order val="1322"/>
          <c:tx>
            <c:strRef>
              <c:f>'Summary stats'!$A$1324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stats'!$A$1324</c:f>
            </c:strRef>
          </c:xVal>
          <c:yVal>
            <c:numRef>
              <c:f>'Summary stats'!$B$1324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23"/>
          <c:order val="1323"/>
          <c:tx>
            <c:strRef>
              <c:f>'Summary stats'!$A$1325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stats'!$A$1325</c:f>
            </c:strRef>
          </c:xVal>
          <c:yVal>
            <c:numRef>
              <c:f>'Summary stats'!$B$1325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24"/>
          <c:order val="1324"/>
          <c:tx>
            <c:strRef>
              <c:f>'Summary stats'!$A$1326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stats'!$A$1326</c:f>
            </c:strRef>
          </c:xVal>
          <c:yVal>
            <c:numRef>
              <c:f>'Summary stats'!$B$1326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25"/>
          <c:order val="1325"/>
          <c:tx>
            <c:strRef>
              <c:f>'Summary stats'!$A$1327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stats'!$A$1327</c:f>
            </c:strRef>
          </c:xVal>
          <c:yVal>
            <c:numRef>
              <c:f>'Summary stats'!$B$1327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26"/>
          <c:order val="1326"/>
          <c:tx>
            <c:strRef>
              <c:f>'Summary stats'!$A$1328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stats'!$A$1328</c:f>
            </c:strRef>
          </c:xVal>
          <c:yVal>
            <c:numRef>
              <c:f>'Summary stats'!$B$1328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27"/>
          <c:order val="1327"/>
          <c:tx>
            <c:strRef>
              <c:f>'Summary stats'!$A$1329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stats'!$A$1329</c:f>
            </c:strRef>
          </c:xVal>
          <c:yVal>
            <c:numRef>
              <c:f>'Summary stats'!$B$1329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28"/>
          <c:order val="1328"/>
          <c:tx>
            <c:strRef>
              <c:f>'Summary stats'!$A$1330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stats'!$A$1330</c:f>
            </c:strRef>
          </c:xVal>
          <c:yVal>
            <c:numRef>
              <c:f>'Summary stats'!$B$1330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29"/>
          <c:order val="1329"/>
          <c:tx>
            <c:strRef>
              <c:f>'Summary stats'!$A$1331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stats'!$A$1331</c:f>
            </c:strRef>
          </c:xVal>
          <c:yVal>
            <c:numRef>
              <c:f>'Summary stats'!$B$1331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30"/>
          <c:order val="1330"/>
          <c:tx>
            <c:strRef>
              <c:f>'Summary stats'!$A$1332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stats'!$A$1332</c:f>
            </c:strRef>
          </c:xVal>
          <c:yVal>
            <c:numRef>
              <c:f>'Summary stats'!$B$1332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31"/>
          <c:order val="1331"/>
          <c:tx>
            <c:strRef>
              <c:f>'Summary stats'!$A$1333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stats'!$A$1333</c:f>
            </c:strRef>
          </c:xVal>
          <c:yVal>
            <c:numRef>
              <c:f>'Summary stats'!$B$1333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32"/>
          <c:order val="1332"/>
          <c:tx>
            <c:strRef>
              <c:f>'Summary stats'!$A$1334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stats'!$A$1334</c:f>
            </c:strRef>
          </c:xVal>
          <c:yVal>
            <c:numRef>
              <c:f>'Summary stats'!$B$1334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33"/>
          <c:order val="1333"/>
          <c:tx>
            <c:strRef>
              <c:f>'Summary stats'!$A$1335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stats'!$A$1335</c:f>
            </c:strRef>
          </c:xVal>
          <c:yVal>
            <c:numRef>
              <c:f>'Summary stats'!$B$1335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34"/>
          <c:order val="1334"/>
          <c:tx>
            <c:strRef>
              <c:f>'Summary stats'!$A$1336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stats'!$A$1336</c:f>
            </c:strRef>
          </c:xVal>
          <c:yVal>
            <c:numRef>
              <c:f>'Summary stats'!$B$1336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35"/>
          <c:order val="1335"/>
          <c:tx>
            <c:strRef>
              <c:f>'Summary stats'!$A$1337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stats'!$A$1337</c:f>
            </c:strRef>
          </c:xVal>
          <c:yVal>
            <c:numRef>
              <c:f>'Summary stats'!$B$1337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36"/>
          <c:order val="1336"/>
          <c:tx>
            <c:strRef>
              <c:f>'Summary stats'!$A$1338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stats'!$A$1338</c:f>
            </c:strRef>
          </c:xVal>
          <c:yVal>
            <c:numRef>
              <c:f>'Summary stats'!$B$1338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37"/>
          <c:order val="1337"/>
          <c:tx>
            <c:strRef>
              <c:f>'Summary stats'!$A$1339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stats'!$A$1339</c:f>
            </c:strRef>
          </c:xVal>
          <c:yVal>
            <c:numRef>
              <c:f>'Summary stats'!$B$1339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38"/>
          <c:order val="1338"/>
          <c:tx>
            <c:strRef>
              <c:f>'Summary stats'!$A$1340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stats'!$A$1340</c:f>
            </c:strRef>
          </c:xVal>
          <c:yVal>
            <c:numRef>
              <c:f>'Summary stats'!$B$1340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39"/>
          <c:order val="1339"/>
          <c:tx>
            <c:strRef>
              <c:f>'Summary stats'!$A$1341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stats'!$A$1341</c:f>
            </c:strRef>
          </c:xVal>
          <c:yVal>
            <c:numRef>
              <c:f>'Summary stats'!$B$1341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40"/>
          <c:order val="1340"/>
          <c:tx>
            <c:strRef>
              <c:f>'Summary stats'!$A$1342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stats'!$A$1342</c:f>
            </c:strRef>
          </c:xVal>
          <c:yVal>
            <c:numRef>
              <c:f>'Summary stats'!$B$1342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41"/>
          <c:order val="1341"/>
          <c:tx>
            <c:strRef>
              <c:f>'Summary stats'!$A$1343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stats'!$A$1343</c:f>
            </c:strRef>
          </c:xVal>
          <c:yVal>
            <c:numRef>
              <c:f>'Summary stats'!$B$1343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42"/>
          <c:order val="1342"/>
          <c:tx>
            <c:strRef>
              <c:f>'Summary stats'!$A$1344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stats'!$A$1344</c:f>
            </c:strRef>
          </c:xVal>
          <c:yVal>
            <c:numRef>
              <c:f>'Summary stats'!$B$1344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43"/>
          <c:order val="1343"/>
          <c:tx>
            <c:strRef>
              <c:f>'Summary stats'!$A$1345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stats'!$A$1345</c:f>
            </c:strRef>
          </c:xVal>
          <c:yVal>
            <c:numRef>
              <c:f>'Summary stats'!$B$1345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44"/>
          <c:order val="1344"/>
          <c:tx>
            <c:strRef>
              <c:f>'Summary stats'!$A$1346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stats'!$A$1346</c:f>
            </c:strRef>
          </c:xVal>
          <c:yVal>
            <c:numRef>
              <c:f>'Summary stats'!$B$1346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45"/>
          <c:order val="1345"/>
          <c:tx>
            <c:strRef>
              <c:f>'Summary stats'!$A$1347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stats'!$A$1347</c:f>
            </c:strRef>
          </c:xVal>
          <c:yVal>
            <c:numRef>
              <c:f>'Summary stats'!$B$1347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46"/>
          <c:order val="1346"/>
          <c:tx>
            <c:strRef>
              <c:f>'Summary stats'!$A$1348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stats'!$A$1348</c:f>
            </c:strRef>
          </c:xVal>
          <c:yVal>
            <c:numRef>
              <c:f>'Summary stats'!$B$1348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47"/>
          <c:order val="1347"/>
          <c:tx>
            <c:strRef>
              <c:f>'Summary stats'!$A$1349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stats'!$A$1349</c:f>
            </c:strRef>
          </c:xVal>
          <c:yVal>
            <c:numRef>
              <c:f>'Summary stats'!$B$1349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48"/>
          <c:order val="1348"/>
          <c:tx>
            <c:strRef>
              <c:f>'Summary stats'!$A$1350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stats'!$A$1350</c:f>
            </c:strRef>
          </c:xVal>
          <c:yVal>
            <c:numRef>
              <c:f>'Summary stats'!$B$1350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49"/>
          <c:order val="1349"/>
          <c:tx>
            <c:strRef>
              <c:f>'Summary stats'!$A$1351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stats'!$A$1351</c:f>
            </c:strRef>
          </c:xVal>
          <c:yVal>
            <c:numRef>
              <c:f>'Summary stats'!$B$1351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50"/>
          <c:order val="1350"/>
          <c:tx>
            <c:strRef>
              <c:f>'Summary stats'!$A$1352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stats'!$A$1352</c:f>
            </c:strRef>
          </c:xVal>
          <c:yVal>
            <c:numRef>
              <c:f>'Summary stats'!$B$1352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51"/>
          <c:order val="1351"/>
          <c:tx>
            <c:strRef>
              <c:f>'Summary stats'!$A$1353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stats'!$A$1353</c:f>
            </c:strRef>
          </c:xVal>
          <c:yVal>
            <c:numRef>
              <c:f>'Summary stats'!$B$1353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52"/>
          <c:order val="1352"/>
          <c:tx>
            <c:strRef>
              <c:f>'Summary stats'!$A$1354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stats'!$A$1354</c:f>
            </c:strRef>
          </c:xVal>
          <c:yVal>
            <c:numRef>
              <c:f>'Summary stats'!$B$1354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53"/>
          <c:order val="1353"/>
          <c:tx>
            <c:strRef>
              <c:f>'Summary stats'!$A$1355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stats'!$A$1355</c:f>
            </c:strRef>
          </c:xVal>
          <c:yVal>
            <c:numRef>
              <c:f>'Summary stats'!$B$1355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54"/>
          <c:order val="1354"/>
          <c:tx>
            <c:strRef>
              <c:f>'Summary stats'!$A$1356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stats'!$A$1356</c:f>
            </c:strRef>
          </c:xVal>
          <c:yVal>
            <c:numRef>
              <c:f>'Summary stats'!$B$1356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55"/>
          <c:order val="1355"/>
          <c:tx>
            <c:strRef>
              <c:f>'Summary stats'!$A$1357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stats'!$A$1357</c:f>
            </c:strRef>
          </c:xVal>
          <c:yVal>
            <c:numRef>
              <c:f>'Summary stats'!$B$1357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56"/>
          <c:order val="1356"/>
          <c:tx>
            <c:strRef>
              <c:f>'Summary stats'!$A$1358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stats'!$A$1358</c:f>
            </c:strRef>
          </c:xVal>
          <c:yVal>
            <c:numRef>
              <c:f>'Summary stats'!$B$1358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57"/>
          <c:order val="1357"/>
          <c:tx>
            <c:strRef>
              <c:f>'Summary stats'!$A$1359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stats'!$A$1359</c:f>
            </c:strRef>
          </c:xVal>
          <c:yVal>
            <c:numRef>
              <c:f>'Summary stats'!$B$1359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58"/>
          <c:order val="1358"/>
          <c:tx>
            <c:strRef>
              <c:f>'Summary stats'!$A$1360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stats'!$A$1360</c:f>
            </c:strRef>
          </c:xVal>
          <c:yVal>
            <c:numRef>
              <c:f>'Summary stats'!$B$1360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59"/>
          <c:order val="1359"/>
          <c:tx>
            <c:strRef>
              <c:f>'Summary stats'!$A$1361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stats'!$A$1361</c:f>
            </c:strRef>
          </c:xVal>
          <c:yVal>
            <c:numRef>
              <c:f>'Summary stats'!$B$1361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60"/>
          <c:order val="1360"/>
          <c:tx>
            <c:strRef>
              <c:f>'Summary stats'!$A$1362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stats'!$A$1362</c:f>
            </c:strRef>
          </c:xVal>
          <c:yVal>
            <c:numRef>
              <c:f>'Summary stats'!$B$1362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61"/>
          <c:order val="1361"/>
          <c:tx>
            <c:strRef>
              <c:f>'Summary stats'!$A$1363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stats'!$A$1363</c:f>
            </c:strRef>
          </c:xVal>
          <c:yVal>
            <c:numRef>
              <c:f>'Summary stats'!$B$1363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62"/>
          <c:order val="1362"/>
          <c:tx>
            <c:strRef>
              <c:f>'Summary stats'!$A$1364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stats'!$A$1364</c:f>
            </c:strRef>
          </c:xVal>
          <c:yVal>
            <c:numRef>
              <c:f>'Summary stats'!$B$1364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63"/>
          <c:order val="1363"/>
          <c:tx>
            <c:strRef>
              <c:f>'Summary stats'!$A$1365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stats'!$A$1365</c:f>
            </c:strRef>
          </c:xVal>
          <c:yVal>
            <c:numRef>
              <c:f>'Summary stats'!$B$1365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64"/>
          <c:order val="1364"/>
          <c:tx>
            <c:strRef>
              <c:f>'Summary stats'!$A$1366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stats'!$A$1366</c:f>
            </c:strRef>
          </c:xVal>
          <c:yVal>
            <c:numRef>
              <c:f>'Summary stats'!$B$1366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65"/>
          <c:order val="1365"/>
          <c:tx>
            <c:strRef>
              <c:f>'Summary stats'!$A$1367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stats'!$A$1367</c:f>
            </c:strRef>
          </c:xVal>
          <c:yVal>
            <c:numRef>
              <c:f>'Summary stats'!$B$1367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66"/>
          <c:order val="1366"/>
          <c:tx>
            <c:strRef>
              <c:f>'Summary stats'!$A$1368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stats'!$A$1368</c:f>
            </c:strRef>
          </c:xVal>
          <c:yVal>
            <c:numRef>
              <c:f>'Summary stats'!$B$1368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67"/>
          <c:order val="1367"/>
          <c:tx>
            <c:strRef>
              <c:f>'Summary stats'!$A$1369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stats'!$A$1369</c:f>
            </c:strRef>
          </c:xVal>
          <c:yVal>
            <c:numRef>
              <c:f>'Summary stats'!$B$1369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68"/>
          <c:order val="1368"/>
          <c:tx>
            <c:strRef>
              <c:f>'Summary stats'!$A$1370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stats'!$A$1370</c:f>
            </c:strRef>
          </c:xVal>
          <c:yVal>
            <c:numRef>
              <c:f>'Summary stats'!$B$1370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69"/>
          <c:order val="1369"/>
          <c:tx>
            <c:strRef>
              <c:f>'Summary stats'!$A$1371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stats'!$A$1371</c:f>
            </c:strRef>
          </c:xVal>
          <c:yVal>
            <c:numRef>
              <c:f>'Summary stats'!$B$1371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70"/>
          <c:order val="1370"/>
          <c:tx>
            <c:strRef>
              <c:f>'Summary stats'!$A$1372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stats'!$A$1372</c:f>
            </c:strRef>
          </c:xVal>
          <c:yVal>
            <c:numRef>
              <c:f>'Summary stats'!$B$1372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71"/>
          <c:order val="1371"/>
          <c:tx>
            <c:strRef>
              <c:f>'Summary stats'!$A$1373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stats'!$A$1373</c:f>
            </c:strRef>
          </c:xVal>
          <c:yVal>
            <c:numRef>
              <c:f>'Summary stats'!$B$1373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72"/>
          <c:order val="1372"/>
          <c:tx>
            <c:strRef>
              <c:f>'Summary stats'!$A$1374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stats'!$A$1374</c:f>
            </c:strRef>
          </c:xVal>
          <c:yVal>
            <c:numRef>
              <c:f>'Summary stats'!$B$1374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73"/>
          <c:order val="1373"/>
          <c:tx>
            <c:strRef>
              <c:f>'Summary stats'!$A$1375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stats'!$A$1375</c:f>
            </c:strRef>
          </c:xVal>
          <c:yVal>
            <c:numRef>
              <c:f>'Summary stats'!$B$1375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74"/>
          <c:order val="1374"/>
          <c:tx>
            <c:strRef>
              <c:f>'Summary stats'!$A$1376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stats'!$A$1376</c:f>
            </c:strRef>
          </c:xVal>
          <c:yVal>
            <c:numRef>
              <c:f>'Summary stats'!$B$1376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75"/>
          <c:order val="1375"/>
          <c:tx>
            <c:strRef>
              <c:f>'Summary stats'!$A$1377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stats'!$A$1377</c:f>
            </c:strRef>
          </c:xVal>
          <c:yVal>
            <c:numRef>
              <c:f>'Summary stats'!$B$1377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76"/>
          <c:order val="1376"/>
          <c:tx>
            <c:strRef>
              <c:f>'Summary stats'!$A$1378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stats'!$A$1378</c:f>
            </c:strRef>
          </c:xVal>
          <c:yVal>
            <c:numRef>
              <c:f>'Summary stats'!$B$1378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77"/>
          <c:order val="1377"/>
          <c:tx>
            <c:strRef>
              <c:f>'Summary stats'!$A$1379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stats'!$A$1379</c:f>
            </c:strRef>
          </c:xVal>
          <c:yVal>
            <c:numRef>
              <c:f>'Summary stats'!$B$1379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78"/>
          <c:order val="1378"/>
          <c:tx>
            <c:strRef>
              <c:f>'Summary stats'!$A$1380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stats'!$A$1380</c:f>
            </c:strRef>
          </c:xVal>
          <c:yVal>
            <c:numRef>
              <c:f>'Summary stats'!$B$1380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79"/>
          <c:order val="1379"/>
          <c:tx>
            <c:strRef>
              <c:f>'Summary stats'!$A$1381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stats'!$A$1381</c:f>
            </c:strRef>
          </c:xVal>
          <c:yVal>
            <c:numRef>
              <c:f>'Summary stats'!$B$1381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80"/>
          <c:order val="1380"/>
          <c:tx>
            <c:strRef>
              <c:f>'Summary stats'!$A$1382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stats'!$A$1382</c:f>
            </c:strRef>
          </c:xVal>
          <c:yVal>
            <c:numRef>
              <c:f>'Summary stats'!$B$1382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81"/>
          <c:order val="1381"/>
          <c:tx>
            <c:strRef>
              <c:f>'Summary stats'!$A$1383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stats'!$A$1383</c:f>
            </c:strRef>
          </c:xVal>
          <c:yVal>
            <c:numRef>
              <c:f>'Summary stats'!$B$1383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82"/>
          <c:order val="1382"/>
          <c:tx>
            <c:strRef>
              <c:f>'Summary stats'!$A$1384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stats'!$A$1384</c:f>
            </c:strRef>
          </c:xVal>
          <c:yVal>
            <c:numRef>
              <c:f>'Summary stats'!$B$1384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83"/>
          <c:order val="1383"/>
          <c:tx>
            <c:strRef>
              <c:f>'Summary stats'!$A$1385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stats'!$A$1385</c:f>
            </c:strRef>
          </c:xVal>
          <c:yVal>
            <c:numRef>
              <c:f>'Summary stats'!$B$1385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84"/>
          <c:order val="1384"/>
          <c:tx>
            <c:strRef>
              <c:f>'Summary stats'!$A$1386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stats'!$A$1386</c:f>
            </c:strRef>
          </c:xVal>
          <c:yVal>
            <c:numRef>
              <c:f>'Summary stats'!$B$1386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85"/>
          <c:order val="1385"/>
          <c:tx>
            <c:strRef>
              <c:f>'Summary stats'!$A$1387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stats'!$A$1387</c:f>
            </c:strRef>
          </c:xVal>
          <c:yVal>
            <c:numRef>
              <c:f>'Summary stats'!$B$1387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86"/>
          <c:order val="1386"/>
          <c:tx>
            <c:strRef>
              <c:f>'Summary stats'!$A$1388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stats'!$A$1388</c:f>
            </c:strRef>
          </c:xVal>
          <c:yVal>
            <c:numRef>
              <c:f>'Summary stats'!$B$1388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87"/>
          <c:order val="1387"/>
          <c:tx>
            <c:strRef>
              <c:f>'Summary stats'!$A$1389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stats'!$A$1389</c:f>
            </c:strRef>
          </c:xVal>
          <c:yVal>
            <c:numRef>
              <c:f>'Summary stats'!$B$1389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88"/>
          <c:order val="1388"/>
          <c:tx>
            <c:strRef>
              <c:f>'Summary stats'!$A$1390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stats'!$A$1390</c:f>
            </c:strRef>
          </c:xVal>
          <c:yVal>
            <c:numRef>
              <c:f>'Summary stats'!$B$1390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89"/>
          <c:order val="1389"/>
          <c:tx>
            <c:strRef>
              <c:f>'Summary stats'!$A$1391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stats'!$A$1391</c:f>
            </c:strRef>
          </c:xVal>
          <c:yVal>
            <c:numRef>
              <c:f>'Summary stats'!$B$1391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90"/>
          <c:order val="1390"/>
          <c:tx>
            <c:strRef>
              <c:f>'Summary stats'!$A$1392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stats'!$A$1392</c:f>
            </c:strRef>
          </c:xVal>
          <c:yVal>
            <c:numRef>
              <c:f>'Summary stats'!$B$1392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91"/>
          <c:order val="1391"/>
          <c:tx>
            <c:strRef>
              <c:f>'Summary stats'!$A$1393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stats'!$A$1393</c:f>
            </c:strRef>
          </c:xVal>
          <c:yVal>
            <c:numRef>
              <c:f>'Summary stats'!$B$1393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92"/>
          <c:order val="1392"/>
          <c:tx>
            <c:strRef>
              <c:f>'Summary stats'!$A$1394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stats'!$A$1394</c:f>
            </c:strRef>
          </c:xVal>
          <c:yVal>
            <c:numRef>
              <c:f>'Summary stats'!$B$1394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93"/>
          <c:order val="1393"/>
          <c:tx>
            <c:strRef>
              <c:f>'Summary stats'!$A$1395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stats'!$A$1395</c:f>
            </c:strRef>
          </c:xVal>
          <c:yVal>
            <c:numRef>
              <c:f>'Summary stats'!$B$1395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94"/>
          <c:order val="1394"/>
          <c:tx>
            <c:strRef>
              <c:f>'Summary stats'!$A$1396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stats'!$A$1396</c:f>
            </c:strRef>
          </c:xVal>
          <c:yVal>
            <c:numRef>
              <c:f>'Summary stats'!$B$1396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95"/>
          <c:order val="1395"/>
          <c:tx>
            <c:strRef>
              <c:f>'Summary stats'!$A$1397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stats'!$A$1397</c:f>
            </c:strRef>
          </c:xVal>
          <c:yVal>
            <c:numRef>
              <c:f>'Summary stats'!$B$1397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96"/>
          <c:order val="1396"/>
          <c:tx>
            <c:strRef>
              <c:f>'Summary stats'!$A$1398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stats'!$A$1398</c:f>
            </c:strRef>
          </c:xVal>
          <c:yVal>
            <c:numRef>
              <c:f>'Summary stats'!$B$1398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97"/>
          <c:order val="1397"/>
          <c:tx>
            <c:strRef>
              <c:f>'Summary stats'!$A$1399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stats'!$A$1399</c:f>
            </c:strRef>
          </c:xVal>
          <c:yVal>
            <c:numRef>
              <c:f>'Summary stats'!$B$1399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98"/>
          <c:order val="1398"/>
          <c:tx>
            <c:strRef>
              <c:f>'Summary stats'!$A$1400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stats'!$A$1400</c:f>
            </c:strRef>
          </c:xVal>
          <c:yVal>
            <c:numRef>
              <c:f>'Summary stats'!$B$1400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399"/>
          <c:order val="1399"/>
          <c:tx>
            <c:strRef>
              <c:f>'Summary stats'!$A$1401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stats'!$A$1401</c:f>
            </c:strRef>
          </c:xVal>
          <c:yVal>
            <c:numRef>
              <c:f>'Summary stats'!$B$1401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00"/>
          <c:order val="1400"/>
          <c:tx>
            <c:strRef>
              <c:f>'Summary stats'!$A$1402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stats'!$A$1402</c:f>
            </c:strRef>
          </c:xVal>
          <c:yVal>
            <c:numRef>
              <c:f>'Summary stats'!$B$1402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01"/>
          <c:order val="1401"/>
          <c:tx>
            <c:strRef>
              <c:f>'Summary stats'!$A$1403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stats'!$A$1403</c:f>
            </c:strRef>
          </c:xVal>
          <c:yVal>
            <c:numRef>
              <c:f>'Summary stats'!$B$1403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02"/>
          <c:order val="1402"/>
          <c:tx>
            <c:strRef>
              <c:f>'Summary stats'!$A$1404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stats'!$A$1404</c:f>
            </c:strRef>
          </c:xVal>
          <c:yVal>
            <c:numRef>
              <c:f>'Summary stats'!$B$1404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03"/>
          <c:order val="1403"/>
          <c:tx>
            <c:strRef>
              <c:f>'Summary stats'!$A$1405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stats'!$A$1405</c:f>
            </c:strRef>
          </c:xVal>
          <c:yVal>
            <c:numRef>
              <c:f>'Summary stats'!$B$1405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04"/>
          <c:order val="1404"/>
          <c:tx>
            <c:strRef>
              <c:f>'Summary stats'!$A$1406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stats'!$A$1406</c:f>
            </c:strRef>
          </c:xVal>
          <c:yVal>
            <c:numRef>
              <c:f>'Summary stats'!$B$1406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05"/>
          <c:order val="1405"/>
          <c:tx>
            <c:strRef>
              <c:f>'Summary stats'!$A$1407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stats'!$A$1407</c:f>
            </c:strRef>
          </c:xVal>
          <c:yVal>
            <c:numRef>
              <c:f>'Summary stats'!$B$1407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06"/>
          <c:order val="1406"/>
          <c:tx>
            <c:strRef>
              <c:f>'Summary stats'!$A$1408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stats'!$A$1408</c:f>
            </c:strRef>
          </c:xVal>
          <c:yVal>
            <c:numRef>
              <c:f>'Summary stats'!$B$1408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07"/>
          <c:order val="1407"/>
          <c:tx>
            <c:strRef>
              <c:f>'Summary stats'!$A$1409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stats'!$A$1409</c:f>
            </c:strRef>
          </c:xVal>
          <c:yVal>
            <c:numRef>
              <c:f>'Summary stats'!$B$1409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08"/>
          <c:order val="1408"/>
          <c:tx>
            <c:strRef>
              <c:f>'Summary stats'!$A$1410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stats'!$A$1410</c:f>
            </c:strRef>
          </c:xVal>
          <c:yVal>
            <c:numRef>
              <c:f>'Summary stats'!$B$1410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09"/>
          <c:order val="1409"/>
          <c:tx>
            <c:strRef>
              <c:f>'Summary stats'!$A$1411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stats'!$A$1411</c:f>
            </c:strRef>
          </c:xVal>
          <c:yVal>
            <c:numRef>
              <c:f>'Summary stats'!$B$1411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10"/>
          <c:order val="1410"/>
          <c:tx>
            <c:strRef>
              <c:f>'Summary stats'!$A$1412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stats'!$A$1412</c:f>
            </c:strRef>
          </c:xVal>
          <c:yVal>
            <c:numRef>
              <c:f>'Summary stats'!$B$1412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11"/>
          <c:order val="1411"/>
          <c:tx>
            <c:strRef>
              <c:f>'Summary stats'!$A$1413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stats'!$A$1413</c:f>
            </c:strRef>
          </c:xVal>
          <c:yVal>
            <c:numRef>
              <c:f>'Summary stats'!$B$1413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12"/>
          <c:order val="1412"/>
          <c:tx>
            <c:strRef>
              <c:f>'Summary stats'!$A$1414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stats'!$A$1414</c:f>
            </c:strRef>
          </c:xVal>
          <c:yVal>
            <c:numRef>
              <c:f>'Summary stats'!$B$1414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13"/>
          <c:order val="1413"/>
          <c:tx>
            <c:strRef>
              <c:f>'Summary stats'!$A$1415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stats'!$A$1415</c:f>
            </c:strRef>
          </c:xVal>
          <c:yVal>
            <c:numRef>
              <c:f>'Summary stats'!$B$1415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14"/>
          <c:order val="1414"/>
          <c:tx>
            <c:strRef>
              <c:f>'Summary stats'!$A$1416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stats'!$A$1416</c:f>
            </c:strRef>
          </c:xVal>
          <c:yVal>
            <c:numRef>
              <c:f>'Summary stats'!$B$1416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15"/>
          <c:order val="1415"/>
          <c:tx>
            <c:strRef>
              <c:f>'Summary stats'!$A$1417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stats'!$A$1417</c:f>
            </c:strRef>
          </c:xVal>
          <c:yVal>
            <c:numRef>
              <c:f>'Summary stats'!$B$1417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16"/>
          <c:order val="1416"/>
          <c:tx>
            <c:strRef>
              <c:f>'Summary stats'!$A$1418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stats'!$A$1418</c:f>
            </c:strRef>
          </c:xVal>
          <c:yVal>
            <c:numRef>
              <c:f>'Summary stats'!$B$1418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17"/>
          <c:order val="1417"/>
          <c:tx>
            <c:strRef>
              <c:f>'Summary stats'!$A$1419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stats'!$A$1419</c:f>
            </c:strRef>
          </c:xVal>
          <c:yVal>
            <c:numRef>
              <c:f>'Summary stats'!$B$1419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18"/>
          <c:order val="1418"/>
          <c:tx>
            <c:strRef>
              <c:f>'Summary stats'!$A$1420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stats'!$A$1420</c:f>
            </c:strRef>
          </c:xVal>
          <c:yVal>
            <c:numRef>
              <c:f>'Summary stats'!$B$1420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19"/>
          <c:order val="1419"/>
          <c:tx>
            <c:strRef>
              <c:f>'Summary stats'!$A$1421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stats'!$A$1421</c:f>
            </c:strRef>
          </c:xVal>
          <c:yVal>
            <c:numRef>
              <c:f>'Summary stats'!$B$1421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20"/>
          <c:order val="1420"/>
          <c:tx>
            <c:strRef>
              <c:f>'Summary stats'!$A$1422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stats'!$A$1422</c:f>
            </c:strRef>
          </c:xVal>
          <c:yVal>
            <c:numRef>
              <c:f>'Summary stats'!$B$1422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21"/>
          <c:order val="1421"/>
          <c:tx>
            <c:strRef>
              <c:f>'Summary stats'!$A$1423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stats'!$A$1423</c:f>
            </c:strRef>
          </c:xVal>
          <c:yVal>
            <c:numRef>
              <c:f>'Summary stats'!$B$1423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22"/>
          <c:order val="1422"/>
          <c:tx>
            <c:strRef>
              <c:f>'Summary stats'!$A$1424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stats'!$A$1424</c:f>
            </c:strRef>
          </c:xVal>
          <c:yVal>
            <c:numRef>
              <c:f>'Summary stats'!$B$1424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23"/>
          <c:order val="1423"/>
          <c:tx>
            <c:strRef>
              <c:f>'Summary stats'!$A$1425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stats'!$A$1425</c:f>
            </c:strRef>
          </c:xVal>
          <c:yVal>
            <c:numRef>
              <c:f>'Summary stats'!$B$1425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24"/>
          <c:order val="1424"/>
          <c:tx>
            <c:strRef>
              <c:f>'Summary stats'!$A$1426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stats'!$A$1426</c:f>
            </c:strRef>
          </c:xVal>
          <c:yVal>
            <c:numRef>
              <c:f>'Summary stats'!$B$1426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25"/>
          <c:order val="1425"/>
          <c:tx>
            <c:strRef>
              <c:f>'Summary stats'!$A$1427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stats'!$A$1427</c:f>
            </c:strRef>
          </c:xVal>
          <c:yVal>
            <c:numRef>
              <c:f>'Summary stats'!$B$1427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26"/>
          <c:order val="1426"/>
          <c:tx>
            <c:strRef>
              <c:f>'Summary stats'!$A$1428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stats'!$A$1428</c:f>
            </c:strRef>
          </c:xVal>
          <c:yVal>
            <c:numRef>
              <c:f>'Summary stats'!$B$1428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27"/>
          <c:order val="1427"/>
          <c:tx>
            <c:strRef>
              <c:f>'Summary stats'!$A$1429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stats'!$A$1429</c:f>
            </c:strRef>
          </c:xVal>
          <c:yVal>
            <c:numRef>
              <c:f>'Summary stats'!$B$1429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28"/>
          <c:order val="1428"/>
          <c:tx>
            <c:strRef>
              <c:f>'Summary stats'!$A$1430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stats'!$A$1430</c:f>
            </c:strRef>
          </c:xVal>
          <c:yVal>
            <c:numRef>
              <c:f>'Summary stats'!$B$1430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29"/>
          <c:order val="1429"/>
          <c:tx>
            <c:strRef>
              <c:f>'Summary stats'!$A$1431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stats'!$A$1431</c:f>
            </c:strRef>
          </c:xVal>
          <c:yVal>
            <c:numRef>
              <c:f>'Summary stats'!$B$1431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30"/>
          <c:order val="1430"/>
          <c:tx>
            <c:strRef>
              <c:f>'Summary stats'!$A$1432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stats'!$A$1432</c:f>
            </c:strRef>
          </c:xVal>
          <c:yVal>
            <c:numRef>
              <c:f>'Summary stats'!$B$1432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31"/>
          <c:order val="1431"/>
          <c:tx>
            <c:strRef>
              <c:f>'Summary stats'!$A$1433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stats'!$A$1433</c:f>
            </c:strRef>
          </c:xVal>
          <c:yVal>
            <c:numRef>
              <c:f>'Summary stats'!$B$1433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32"/>
          <c:order val="1432"/>
          <c:tx>
            <c:strRef>
              <c:f>'Summary stats'!$A$1434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stats'!$A$1434</c:f>
            </c:strRef>
          </c:xVal>
          <c:yVal>
            <c:numRef>
              <c:f>'Summary stats'!$B$1434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33"/>
          <c:order val="1433"/>
          <c:tx>
            <c:strRef>
              <c:f>'Summary stats'!$A$1435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stats'!$A$1435</c:f>
            </c:strRef>
          </c:xVal>
          <c:yVal>
            <c:numRef>
              <c:f>'Summary stats'!$B$1435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34"/>
          <c:order val="1434"/>
          <c:tx>
            <c:strRef>
              <c:f>'Summary stats'!$A$1436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stats'!$A$1436</c:f>
            </c:strRef>
          </c:xVal>
          <c:yVal>
            <c:numRef>
              <c:f>'Summary stats'!$B$1436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35"/>
          <c:order val="1435"/>
          <c:tx>
            <c:strRef>
              <c:f>'Summary stats'!$A$1437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stats'!$A$1437</c:f>
            </c:strRef>
          </c:xVal>
          <c:yVal>
            <c:numRef>
              <c:f>'Summary stats'!$B$1437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36"/>
          <c:order val="1436"/>
          <c:tx>
            <c:strRef>
              <c:f>'Summary stats'!$A$1438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stats'!$A$1438</c:f>
            </c:strRef>
          </c:xVal>
          <c:yVal>
            <c:numRef>
              <c:f>'Summary stats'!$B$1438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37"/>
          <c:order val="1437"/>
          <c:tx>
            <c:strRef>
              <c:f>'Summary stats'!$A$1439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stats'!$A$1439</c:f>
            </c:strRef>
          </c:xVal>
          <c:yVal>
            <c:numRef>
              <c:f>'Summary stats'!$B$1439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38"/>
          <c:order val="1438"/>
          <c:tx>
            <c:strRef>
              <c:f>'Summary stats'!$A$1440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stats'!$A$1440</c:f>
            </c:strRef>
          </c:xVal>
          <c:yVal>
            <c:numRef>
              <c:f>'Summary stats'!$B$1440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39"/>
          <c:order val="1439"/>
          <c:tx>
            <c:strRef>
              <c:f>'Summary stats'!$A$1441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stats'!$A$1441</c:f>
            </c:strRef>
          </c:xVal>
          <c:yVal>
            <c:numRef>
              <c:f>'Summary stats'!$B$1441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40"/>
          <c:order val="1440"/>
          <c:tx>
            <c:strRef>
              <c:f>'Summary stats'!$A$1442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stats'!$A$1442</c:f>
            </c:strRef>
          </c:xVal>
          <c:yVal>
            <c:numRef>
              <c:f>'Summary stats'!$B$1442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41"/>
          <c:order val="1441"/>
          <c:tx>
            <c:strRef>
              <c:f>'Summary stats'!$A$1443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stats'!$A$1443</c:f>
            </c:strRef>
          </c:xVal>
          <c:yVal>
            <c:numRef>
              <c:f>'Summary stats'!$B$1443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42"/>
          <c:order val="1442"/>
          <c:tx>
            <c:strRef>
              <c:f>'Summary stats'!$A$1444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stats'!$A$1444</c:f>
            </c:strRef>
          </c:xVal>
          <c:yVal>
            <c:numRef>
              <c:f>'Summary stats'!$B$1444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43"/>
          <c:order val="1443"/>
          <c:tx>
            <c:strRef>
              <c:f>'Summary stats'!$A$1445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stats'!$A$1445</c:f>
            </c:strRef>
          </c:xVal>
          <c:yVal>
            <c:numRef>
              <c:f>'Summary stats'!$B$1445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44"/>
          <c:order val="1444"/>
          <c:tx>
            <c:strRef>
              <c:f>'Summary stats'!$A$1446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stats'!$A$1446</c:f>
            </c:strRef>
          </c:xVal>
          <c:yVal>
            <c:numRef>
              <c:f>'Summary stats'!$B$1446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45"/>
          <c:order val="1445"/>
          <c:tx>
            <c:strRef>
              <c:f>'Summary stats'!$A$1447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stats'!$A$1447</c:f>
            </c:strRef>
          </c:xVal>
          <c:yVal>
            <c:numRef>
              <c:f>'Summary stats'!$B$1447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46"/>
          <c:order val="1446"/>
          <c:tx>
            <c:strRef>
              <c:f>'Summary stats'!$A$1448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stats'!$A$1448</c:f>
            </c:strRef>
          </c:xVal>
          <c:yVal>
            <c:numRef>
              <c:f>'Summary stats'!$B$1448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47"/>
          <c:order val="1447"/>
          <c:tx>
            <c:strRef>
              <c:f>'Summary stats'!$A$1449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stats'!$A$1449</c:f>
            </c:strRef>
          </c:xVal>
          <c:yVal>
            <c:numRef>
              <c:f>'Summary stats'!$B$1449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48"/>
          <c:order val="1448"/>
          <c:tx>
            <c:strRef>
              <c:f>'Summary stats'!$A$1450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stats'!$A$1450</c:f>
            </c:strRef>
          </c:xVal>
          <c:yVal>
            <c:numRef>
              <c:f>'Summary stats'!$B$1450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49"/>
          <c:order val="1449"/>
          <c:tx>
            <c:strRef>
              <c:f>'Summary stats'!$A$1451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stats'!$A$1451</c:f>
            </c:strRef>
          </c:xVal>
          <c:yVal>
            <c:numRef>
              <c:f>'Summary stats'!$B$1451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50"/>
          <c:order val="1450"/>
          <c:tx>
            <c:strRef>
              <c:f>'Summary stats'!$A$1452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stats'!$A$1452</c:f>
            </c:strRef>
          </c:xVal>
          <c:yVal>
            <c:numRef>
              <c:f>'Summary stats'!$B$1452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51"/>
          <c:order val="1451"/>
          <c:tx>
            <c:strRef>
              <c:f>'Summary stats'!$A$1453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stats'!$A$1453</c:f>
            </c:strRef>
          </c:xVal>
          <c:yVal>
            <c:numRef>
              <c:f>'Summary stats'!$B$1453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52"/>
          <c:order val="1452"/>
          <c:tx>
            <c:strRef>
              <c:f>'Summary stats'!$A$1454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stats'!$A$1454</c:f>
            </c:strRef>
          </c:xVal>
          <c:yVal>
            <c:numRef>
              <c:f>'Summary stats'!$B$1454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53"/>
          <c:order val="1453"/>
          <c:tx>
            <c:strRef>
              <c:f>'Summary stats'!$A$1455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stats'!$A$1455</c:f>
            </c:strRef>
          </c:xVal>
          <c:yVal>
            <c:numRef>
              <c:f>'Summary stats'!$B$1455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54"/>
          <c:order val="1454"/>
          <c:tx>
            <c:strRef>
              <c:f>'Summary stats'!$A$1456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stats'!$A$1456</c:f>
            </c:strRef>
          </c:xVal>
          <c:yVal>
            <c:numRef>
              <c:f>'Summary stats'!$B$1456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55"/>
          <c:order val="1455"/>
          <c:tx>
            <c:strRef>
              <c:f>'Summary stats'!$A$1457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stats'!$A$1457</c:f>
            </c:strRef>
          </c:xVal>
          <c:yVal>
            <c:numRef>
              <c:f>'Summary stats'!$B$1457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56"/>
          <c:order val="1456"/>
          <c:tx>
            <c:strRef>
              <c:f>'Summary stats'!$A$1458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stats'!$A$1458</c:f>
            </c:strRef>
          </c:xVal>
          <c:yVal>
            <c:numRef>
              <c:f>'Summary stats'!$B$1458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57"/>
          <c:order val="1457"/>
          <c:tx>
            <c:strRef>
              <c:f>'Summary stats'!$A$1459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stats'!$A$1459</c:f>
            </c:strRef>
          </c:xVal>
          <c:yVal>
            <c:numRef>
              <c:f>'Summary stats'!$B$1459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58"/>
          <c:order val="1458"/>
          <c:tx>
            <c:strRef>
              <c:f>'Summary stats'!$A$1460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stats'!$A$1460</c:f>
            </c:strRef>
          </c:xVal>
          <c:yVal>
            <c:numRef>
              <c:f>'Summary stats'!$B$1460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59"/>
          <c:order val="1459"/>
          <c:tx>
            <c:strRef>
              <c:f>'Summary stats'!$A$1461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stats'!$A$1461</c:f>
            </c:strRef>
          </c:xVal>
          <c:yVal>
            <c:numRef>
              <c:f>'Summary stats'!$B$1461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60"/>
          <c:order val="1460"/>
          <c:tx>
            <c:strRef>
              <c:f>'Summary stats'!$A$1462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stats'!$A$1462</c:f>
            </c:strRef>
          </c:xVal>
          <c:yVal>
            <c:numRef>
              <c:f>'Summary stats'!$B$1462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61"/>
          <c:order val="1461"/>
          <c:tx>
            <c:strRef>
              <c:f>'Summary stats'!$A$1463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stats'!$A$1463</c:f>
            </c:strRef>
          </c:xVal>
          <c:yVal>
            <c:numRef>
              <c:f>'Summary stats'!$B$1463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62"/>
          <c:order val="1462"/>
          <c:tx>
            <c:strRef>
              <c:f>'Summary stats'!$A$1464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stats'!$A$1464</c:f>
            </c:strRef>
          </c:xVal>
          <c:yVal>
            <c:numRef>
              <c:f>'Summary stats'!$B$1464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63"/>
          <c:order val="1463"/>
          <c:tx>
            <c:strRef>
              <c:f>'Summary stats'!$A$1465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stats'!$A$1465</c:f>
            </c:strRef>
          </c:xVal>
          <c:yVal>
            <c:numRef>
              <c:f>'Summary stats'!$B$1465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64"/>
          <c:order val="1464"/>
          <c:tx>
            <c:strRef>
              <c:f>'Summary stats'!$A$1466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stats'!$A$1466</c:f>
            </c:strRef>
          </c:xVal>
          <c:yVal>
            <c:numRef>
              <c:f>'Summary stats'!$B$1466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65"/>
          <c:order val="1465"/>
          <c:tx>
            <c:strRef>
              <c:f>'Summary stats'!$A$1467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stats'!$A$1467</c:f>
            </c:strRef>
          </c:xVal>
          <c:yVal>
            <c:numRef>
              <c:f>'Summary stats'!$B$1467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66"/>
          <c:order val="1466"/>
          <c:tx>
            <c:strRef>
              <c:f>'Summary stats'!$A$1468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stats'!$A$1468</c:f>
            </c:strRef>
          </c:xVal>
          <c:yVal>
            <c:numRef>
              <c:f>'Summary stats'!$B$1468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67"/>
          <c:order val="1467"/>
          <c:tx>
            <c:strRef>
              <c:f>'Summary stats'!$A$1469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stats'!$A$1469</c:f>
            </c:strRef>
          </c:xVal>
          <c:yVal>
            <c:numRef>
              <c:f>'Summary stats'!$B$1469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68"/>
          <c:order val="1468"/>
          <c:tx>
            <c:strRef>
              <c:f>'Summary stats'!$A$1470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stats'!$A$1470</c:f>
            </c:strRef>
          </c:xVal>
          <c:yVal>
            <c:numRef>
              <c:f>'Summary stats'!$B$1470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69"/>
          <c:order val="1469"/>
          <c:tx>
            <c:strRef>
              <c:f>'Summary stats'!$A$1471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stats'!$A$1471</c:f>
            </c:strRef>
          </c:xVal>
          <c:yVal>
            <c:numRef>
              <c:f>'Summary stats'!$B$1471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70"/>
          <c:order val="1470"/>
          <c:tx>
            <c:strRef>
              <c:f>'Summary stats'!$A$1472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stats'!$A$1472</c:f>
            </c:strRef>
          </c:xVal>
          <c:yVal>
            <c:numRef>
              <c:f>'Summary stats'!$B$1472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71"/>
          <c:order val="1471"/>
          <c:tx>
            <c:strRef>
              <c:f>'Summary stats'!$A$1473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stats'!$A$1473</c:f>
            </c:strRef>
          </c:xVal>
          <c:yVal>
            <c:numRef>
              <c:f>'Summary stats'!$B$1473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72"/>
          <c:order val="1472"/>
          <c:tx>
            <c:strRef>
              <c:f>'Summary stats'!$A$1474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stats'!$A$1474</c:f>
            </c:strRef>
          </c:xVal>
          <c:yVal>
            <c:numRef>
              <c:f>'Summary stats'!$B$1474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73"/>
          <c:order val="1473"/>
          <c:tx>
            <c:strRef>
              <c:f>'Summary stats'!$A$1475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stats'!$A$1475</c:f>
            </c:strRef>
          </c:xVal>
          <c:yVal>
            <c:numRef>
              <c:f>'Summary stats'!$B$1475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74"/>
          <c:order val="1474"/>
          <c:tx>
            <c:strRef>
              <c:f>'Summary stats'!$A$1476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stats'!$A$1476</c:f>
            </c:strRef>
          </c:xVal>
          <c:yVal>
            <c:numRef>
              <c:f>'Summary stats'!$B$1476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75"/>
          <c:order val="1475"/>
          <c:tx>
            <c:strRef>
              <c:f>'Summary stats'!$A$1477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stats'!$A$1477</c:f>
            </c:strRef>
          </c:xVal>
          <c:yVal>
            <c:numRef>
              <c:f>'Summary stats'!$B$1477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76"/>
          <c:order val="1476"/>
          <c:tx>
            <c:strRef>
              <c:f>'Summary stats'!$A$1478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stats'!$A$1478</c:f>
            </c:strRef>
          </c:xVal>
          <c:yVal>
            <c:numRef>
              <c:f>'Summary stats'!$B$1478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77"/>
          <c:order val="1477"/>
          <c:tx>
            <c:strRef>
              <c:f>'Summary stats'!$A$1479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stats'!$A$1479</c:f>
            </c:strRef>
          </c:xVal>
          <c:yVal>
            <c:numRef>
              <c:f>'Summary stats'!$B$1479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78"/>
          <c:order val="1478"/>
          <c:tx>
            <c:strRef>
              <c:f>'Summary stats'!$A$1480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stats'!$A$1480</c:f>
            </c:strRef>
          </c:xVal>
          <c:yVal>
            <c:numRef>
              <c:f>'Summary stats'!$B$1480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79"/>
          <c:order val="1479"/>
          <c:tx>
            <c:strRef>
              <c:f>'Summary stats'!$A$1481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stats'!$A$1481</c:f>
            </c:strRef>
          </c:xVal>
          <c:yVal>
            <c:numRef>
              <c:f>'Summary stats'!$B$1481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80"/>
          <c:order val="1480"/>
          <c:tx>
            <c:strRef>
              <c:f>'Summary stats'!$A$1482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stats'!$A$1482</c:f>
            </c:strRef>
          </c:xVal>
          <c:yVal>
            <c:numRef>
              <c:f>'Summary stats'!$B$1482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81"/>
          <c:order val="1481"/>
          <c:tx>
            <c:strRef>
              <c:f>'Summary stats'!$A$1483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stats'!$A$1483</c:f>
            </c:strRef>
          </c:xVal>
          <c:yVal>
            <c:numRef>
              <c:f>'Summary stats'!$B$1483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82"/>
          <c:order val="1482"/>
          <c:tx>
            <c:strRef>
              <c:f>'Summary stats'!$A$1484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stats'!$A$1484</c:f>
            </c:strRef>
          </c:xVal>
          <c:yVal>
            <c:numRef>
              <c:f>'Summary stats'!$B$1484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83"/>
          <c:order val="1483"/>
          <c:tx>
            <c:strRef>
              <c:f>'Summary stats'!$A$1485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stats'!$A$1485</c:f>
            </c:strRef>
          </c:xVal>
          <c:yVal>
            <c:numRef>
              <c:f>'Summary stats'!$B$1485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484"/>
          <c:order val="1484"/>
          <c:tx>
            <c:strRef>
              <c:f>'Summary stats'!$A$1486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'Summary stats'!$A$1486</c:f>
            </c:strRef>
          </c:xVal>
          <c:yVal>
            <c:numRef>
              <c:f>'Summary stats'!$B$1486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axId val="1641919818"/>
        <c:axId val="1688838540"/>
      </c:bubbleChart>
      <c:valAx>
        <c:axId val="16419198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8838540"/>
      </c:valAx>
      <c:valAx>
        <c:axId val="16888385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19198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152400</xdr:colOff>
      <xdr:row>0</xdr:row>
      <xdr:rowOff>0</xdr:rowOff>
    </xdr:from>
    <xdr:ext cx="7362825" cy="38195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1400175</xdr:colOff>
      <xdr:row>0</xdr:row>
      <xdr:rowOff>66675</xdr:rowOff>
    </xdr:from>
    <xdr:ext cx="9505950" cy="3990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447675</xdr:colOff>
      <xdr:row>1</xdr:row>
      <xdr:rowOff>47625</xdr:rowOff>
    </xdr:from>
    <xdr:ext cx="7591425" cy="36480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1486" sheet="Summary stats"/>
  </cacheSource>
  <cacheFields>
    <cacheField name="number_of_companies" numFmtId="0">
      <sharedItems containsString="0" containsBlank="1" containsNumber="1" containsInteger="1">
        <n v="63.0"/>
        <n v="56.0"/>
        <n v="52.0"/>
        <n v="36.0"/>
        <n v="33.0"/>
        <n v="30.0"/>
        <n v="29.0"/>
        <n v="27.0"/>
        <n v="26.0"/>
        <n v="24.0"/>
        <n v="23.0"/>
        <n v="21.0"/>
        <n v="20.0"/>
        <n v="19.0"/>
        <n v="16.0"/>
        <n v="14.0"/>
        <n v="11.0"/>
        <n v="10.0"/>
        <n v="9.0"/>
        <n v="7.0"/>
        <n v="6.0"/>
        <n v="5.0"/>
        <n v="4.0"/>
        <n v="3.0"/>
        <n v="2.0"/>
        <m/>
      </sharedItems>
    </cacheField>
    <cacheField name="industry" numFmtId="0">
      <sharedItems containsBlank="1">
        <s v="Technology"/>
        <s v="Biotechnology"/>
        <s v="Health Care"/>
        <s v="Real Estate"/>
        <s v="Financial Services"/>
        <s v="Utilities"/>
        <s v="Banking"/>
        <s v="Electrical Equipment"/>
        <s v="Insurance"/>
        <s v="Retail"/>
        <s v="Hotels Restaurants and Leisure"/>
        <s v="Semiconductors"/>
        <s v="Media"/>
        <s v="Energy"/>
        <s v="Pharmaceuticals"/>
        <s v="Machinery"/>
        <s v="Consumer products"/>
        <s v="Chemicals"/>
        <s v="Life Sciences Tools and Services"/>
        <s v="Food Products"/>
        <s v="Aerospace and Defense"/>
        <s v="Metals and Mining"/>
        <s v="Building"/>
        <s v="Communications"/>
        <s v="Textiles Apparel and Luxury Goods"/>
        <s v="Commercial Services and Supplies"/>
        <s v="Airlines"/>
        <s v="Professional Services"/>
        <s v="Construction"/>
        <s v="Logistics and Transportation"/>
        <s v="Road and Rail"/>
        <s v="Trading Companies and Distributors"/>
        <s v="Beverages"/>
        <s v="Automobiles"/>
        <s v="Packaging"/>
        <s v="Auto Components"/>
        <s v="Telecommunication"/>
        <s v="Marine"/>
        <s v="Diversified Consumer Services"/>
        <s v="Leisure Products"/>
        <s v="Distributors"/>
        <s v="Industrial Conglomerates"/>
        <s v="Tobacco"/>
        <m/>
      </sharedItems>
    </cacheField>
    <cacheField name="E_min_score" numFmtId="0">
      <sharedItems containsString="0" containsBlank="1" containsNumber="1" containsInteger="1">
        <n v="200.0"/>
        <n v="223.0"/>
        <n v="205.0"/>
        <n v="203.0"/>
        <n v="345.0"/>
        <n v="220.0"/>
        <n v="215.0"/>
        <n v="210.0"/>
        <n v="235.0"/>
        <n v="255.0"/>
        <n v="234.0"/>
        <n v="290.0"/>
        <n v="230.0"/>
        <n v="500.0"/>
        <n v="242.0"/>
        <n v="233.0"/>
        <n v="515.0"/>
        <n v="526.0"/>
        <m/>
      </sharedItems>
    </cacheField>
    <cacheField name="E_max_score" numFmtId="0">
      <sharedItems containsString="0" containsBlank="1" containsNumber="1" containsInteger="1">
        <n v="715.0"/>
        <n v="575.0"/>
        <n v="607.0"/>
        <n v="700.0"/>
        <n v="580.0"/>
        <n v="565.0"/>
        <n v="605.0"/>
        <n v="668.0"/>
        <n v="558.0"/>
        <n v="543.0"/>
        <n v="578.0"/>
        <n v="573.0"/>
        <n v="587.0"/>
        <n v="545.0"/>
        <n v="675.0"/>
        <n v="510.0"/>
        <n v="508.0"/>
        <n v="613.0"/>
        <n v="515.0"/>
        <n v="615.0"/>
        <n v="589.0"/>
        <n v="560.0"/>
        <n v="477.0"/>
        <n v="719.0"/>
        <n v="555.0"/>
        <n v="535.0"/>
        <n v="345.0"/>
        <n v="365.0"/>
        <n v="269.0"/>
        <n v="520.0"/>
        <m/>
      </sharedItems>
    </cacheField>
    <cacheField name="E_median_score" numFmtId="0">
      <sharedItems containsString="0" containsBlank="1" containsNumber="1">
        <n v="500.0"/>
        <n v="240.0"/>
        <n v="385.5"/>
        <n v="335.0"/>
        <n v="558.5"/>
        <n v="308.0"/>
        <n v="410.0"/>
        <n v="355.0"/>
        <n v="338.0"/>
        <n v="505.0"/>
        <n v="295.0"/>
        <n v="535.0"/>
        <n v="285.0"/>
        <n v="359.0"/>
        <n v="510.0"/>
        <n v="520.0"/>
        <n v="450.0"/>
        <n v="370.0"/>
        <n v="418.0"/>
        <n v="287.0"/>
        <n v="555.0"/>
        <n v="515.0"/>
        <n v="488.5"/>
        <n v="255.0"/>
        <n v="487.0"/>
        <n v="401.0"/>
        <n v="545.0"/>
        <n v="260.0"/>
        <n v="342.0"/>
        <n v="329.0"/>
        <n v="290.0"/>
        <n v="525.0"/>
        <n v="533.0"/>
        <m/>
      </sharedItems>
    </cacheField>
    <cacheField name="S_min_score" numFmtId="0">
      <sharedItems containsString="0" containsBlank="1" containsNumber="1" containsInteger="1">
        <n v="205.0"/>
        <n v="201.0"/>
        <n v="200.0"/>
        <n v="204.0"/>
        <n v="221.0"/>
        <n v="208.0"/>
        <n v="202.0"/>
        <n v="203.0"/>
        <n v="239.0"/>
        <n v="248.0"/>
        <n v="237.0"/>
        <n v="211.0"/>
        <n v="264.0"/>
        <n v="210.0"/>
        <n v="257.0"/>
        <n v="160.0"/>
        <n v="303.0"/>
        <n v="224.0"/>
        <n v="225.0"/>
        <n v="300.0"/>
        <n v="327.0"/>
        <m/>
      </sharedItems>
    </cacheField>
    <cacheField name="S_max_score" numFmtId="0">
      <sharedItems containsString="0" containsBlank="1" containsNumber="1" containsInteger="1">
        <n v="443.0"/>
        <n v="346.0"/>
        <n v="399.0"/>
        <n v="404.0"/>
        <n v="350.0"/>
        <n v="667.0"/>
        <n v="394.0"/>
        <n v="415.0"/>
        <n v="355.0"/>
        <n v="349.0"/>
        <n v="570.0"/>
        <n v="330.0"/>
        <n v="515.0"/>
        <n v="544.0"/>
        <n v="360.0"/>
        <n v="391.0"/>
        <n v="422.0"/>
        <n v="442.0"/>
        <n v="354.0"/>
        <n v="374.0"/>
        <n v="337.0"/>
        <n v="389.0"/>
        <n v="352.0"/>
        <n v="408.0"/>
        <n v="321.0"/>
        <n v="366.0"/>
        <n v="390.0"/>
        <n v="423.0"/>
        <n v="385.0"/>
        <n v="344.0"/>
        <n v="303.0"/>
        <n v="347.0"/>
        <n v="339.0"/>
        <n v="331.0"/>
        <n v="351.0"/>
        <n v="297.0"/>
        <n v="301.0"/>
        <n v="306.0"/>
        <n v="327.0"/>
        <m/>
      </sharedItems>
    </cacheField>
    <cacheField name="S_median_score" numFmtId="0">
      <sharedItems containsString="0" containsBlank="1" containsNumber="1">
        <n v="307.0"/>
        <n v="280.0"/>
        <n v="300.5"/>
        <n v="300.0"/>
        <n v="303.0"/>
        <n v="326.5"/>
        <n v="294.0"/>
        <n v="305.0"/>
        <n v="302.0"/>
        <n v="264.0"/>
        <n v="315.0"/>
        <n v="299.0"/>
        <n v="312.0"/>
        <n v="301.5"/>
        <n v="304.0"/>
        <n v="310.0"/>
        <n v="303.5"/>
        <n v="298.0"/>
        <n v="316.0"/>
        <n v="290.0"/>
        <n v="314.5"/>
        <n v="306.0"/>
        <n v="227.0"/>
        <n v="321.0"/>
        <n v="206.0"/>
        <n v="327.0"/>
        <n v="203.0"/>
        <n v="253.0"/>
        <m/>
      </sharedItems>
    </cacheField>
    <cacheField name="G_min_score" numFmtId="0">
      <sharedItems containsString="0" containsBlank="1" containsNumber="1" containsInteger="1">
        <n v="200.0"/>
        <n v="75.0"/>
        <n v="215.0"/>
        <n v="210.0"/>
        <n v="220.0"/>
        <n v="223.0"/>
        <n v="205.0"/>
        <n v="278.0"/>
        <n v="237.0"/>
        <n v="245.0"/>
        <n v="257.0"/>
        <n v="230.0"/>
        <n v="305.0"/>
        <n v="300.0"/>
        <n v="315.0"/>
        <m/>
      </sharedItems>
    </cacheField>
    <cacheField name="G_max_score" numFmtId="0">
      <sharedItems containsString="0" containsBlank="1" containsNumber="1" containsInteger="1">
        <n v="375.0"/>
        <n v="364.0"/>
        <n v="338.0"/>
        <n v="365.0"/>
        <n v="335.0"/>
        <n v="370.0"/>
        <n v="475.0"/>
        <n v="340.0"/>
        <n v="460.0"/>
        <n v="400.0"/>
        <n v="355.0"/>
        <n v="315.0"/>
        <n v="320.0"/>
        <n v="348.0"/>
        <n v="330.0"/>
        <n v="385.0"/>
        <n v="325.0"/>
        <n v="313.0"/>
        <n v="310.0"/>
        <n v="300.0"/>
        <n v="358.0"/>
        <n v="278.0"/>
        <n v="305.0"/>
        <n v="250.0"/>
        <n v="308.0"/>
        <n v="341.0"/>
        <m/>
      </sharedItems>
    </cacheField>
    <cacheField name="G_median_score" numFmtId="0">
      <sharedItems containsString="0" containsBlank="1" containsNumber="1">
        <n v="305.0"/>
        <n v="300.0"/>
        <n v="275.0"/>
        <n v="265.0"/>
        <n v="267.5"/>
        <n v="235.0"/>
        <n v="270.0"/>
        <n v="302.5"/>
        <n v="295.0"/>
        <n v="248.0"/>
        <n v="277.5"/>
        <n v="301.5"/>
        <n v="240.0"/>
        <n v="297.5"/>
        <n v="230.0"/>
        <n v="205.0"/>
        <n v="328.0"/>
        <m/>
      </sharedItems>
    </cacheField>
    <cacheField name="Total_min_score" numFmtId="0">
      <sharedItems containsString="0" containsBlank="1" containsNumber="1" containsInteger="1">
        <n v="621.0"/>
        <n v="604.0"/>
        <n v="600.0"/>
        <n v="609.0"/>
        <n v="610.0"/>
        <n v="629.0"/>
        <n v="668.0"/>
        <n v="618.0"/>
        <n v="608.0"/>
        <n v="607.0"/>
        <n v="637.0"/>
        <n v="645.0"/>
        <n v="709.0"/>
        <n v="647.0"/>
        <n v="626.0"/>
        <n v="659.0"/>
        <n v="901.0"/>
        <n v="633.0"/>
        <n v="615.0"/>
        <n v="694.0"/>
        <n v="636.0"/>
        <n v="679.0"/>
        <n v="817.0"/>
        <n v="769.0"/>
        <n v="792.0"/>
        <n v="641.0"/>
        <n v="601.0"/>
        <n v="623.0"/>
        <n v="1103.0"/>
        <n v="715.0"/>
        <n v="646.0"/>
        <n v="657.0"/>
        <n v="1065.0"/>
        <n v="1133.0"/>
        <n v="1162.0"/>
        <m/>
      </sharedItems>
    </cacheField>
    <cacheField name="total_min_score_company_name" numFmtId="0">
      <sharedItems containsBlank="1">
        <s v="Adobe Inc"/>
        <s v="Aadi Bioscience Inc"/>
        <s v="Teleflex Inc"/>
        <s v="CBRE Group Inc"/>
        <s v="Yiren Digital Ltd"/>
        <s v="Xcel Energy Inc"/>
        <s v="Zions Bancorporation NA"/>
        <s v="Corning Inc"/>
        <s v="Globe Life Inc"/>
        <s v="Lowe's Companies Inc"/>
        <s v="Allied Esports Entertainment Inc"/>
        <s v="Advanced Micro Devices Inc"/>
        <s v="Playstudios Inc"/>
        <s v="Chevron Corp"/>
        <s v="Clearside Biomedical Inc"/>
        <s v="Caterpillar Inc"/>
        <s v="Garmin Ltd"/>
        <s v="Dow Inc"/>
        <s v="Absci Corp"/>
        <s v="Lamb Weston Holdings Inc"/>
        <s v="HEICO Corp"/>
        <s v="Warrior Met Coal Inc"/>
        <s v="Carrier Global Corp"/>
        <s v="F5 Inc"/>
        <s v="Ever-Glory International Group Inc"/>
        <s v="Copart Inc"/>
        <s v="United Airlines Holdings Inc"/>
        <s v="Upwork Inc"/>
        <s v="Granite Construction Inc"/>
        <s v="Air T Inc"/>
        <s v="Union Pacific Corp"/>
        <s v="Euro Tech Holdings Company Ltd"/>
        <s v="Coca-Cola Co"/>
        <s v="Xpeng Inc"/>
        <s v="Packaging Corp of America"/>
        <s v="XL Fleet Corp"/>
        <s v="AT&amp;T Inc"/>
        <s v="Costamare Inc"/>
        <s v="ATA Creativity Global"/>
        <s v="Ammo Inc"/>
        <s v="Genuine Parts Co"/>
        <s v="General Electric Co"/>
        <s v="Philip Morris International Inc"/>
        <m/>
      </sharedItems>
    </cacheField>
    <cacheField name="Total_max_score" numFmtId="0">
      <sharedItems containsString="0" containsBlank="1" containsNumber="1" containsInteger="1">
        <n v="1533.0"/>
        <n v="1215.0"/>
        <n v="1306.0"/>
        <n v="1363.0"/>
        <n v="1262.0"/>
        <n v="1528.0"/>
        <n v="1208.0"/>
        <n v="1290.0"/>
        <n v="1300.0"/>
        <n v="1433.0"/>
        <n v="1475.0"/>
        <n v="1195.0"/>
        <n v="1181.0"/>
        <n v="1536.0"/>
        <n v="1180.0"/>
        <n v="1238.0"/>
        <n v="1292.0"/>
        <n v="1442.0"/>
        <n v="1259.0"/>
        <n v="1276.0"/>
        <n v="1250.0"/>
        <n v="1419.0"/>
        <n v="1409.0"/>
        <n v="1157.0"/>
        <n v="1106.0"/>
        <n v="1128.0"/>
        <n v="1281.0"/>
        <n v="1256.0"/>
        <n v="1243.0"/>
        <n v="1178.0"/>
        <n v="1090.0"/>
        <n v="1417.0"/>
        <n v="1068.0"/>
        <n v="1207.0"/>
        <n v="1204.0"/>
        <n v="1167.0"/>
        <n v="1000.0"/>
        <n v="912.0"/>
        <n v="856.0"/>
        <n v="1144.0"/>
        <n v="1197.0"/>
        <n v="1168.0"/>
        <m/>
      </sharedItems>
    </cacheField>
    <cacheField name="total_max_score_company_name" numFmtId="0">
      <sharedItems containsBlank="1">
        <s v="Microsoft Corp"/>
        <s v="Amgen Inc"/>
        <s v="Becton Dickinson and Co"/>
        <s v="Hannon Armstrong Sustainable Infrastructure Capital Inc"/>
        <s v="MSCI Inc"/>
        <s v="Edison International"/>
        <s v="Pacific Premier Bancorp Inc"/>
        <s v="Amphenol Corp"/>
        <s v="Lincoln National Corp"/>
        <s v="Amazon.com Inc"/>
        <s v="Airbnb Inc"/>
        <s v="Maxlinear Inc"/>
        <s v="Omnicom Group Inc"/>
        <s v="Conocophillips"/>
        <s v="Eli Lilly and Co"/>
        <s v="Westinghouse Air Brake Technologies Corp"/>
        <s v="Procter &amp; Gamble Co"/>
        <s v="Air Products and Chemicals Inc"/>
        <s v="Danaher Corp"/>
        <s v="General Mills Inc"/>
        <s v="Raytheon Technologies Corp"/>
        <s v="Newmont Corporation"/>
        <s v="Trane Technologies PLC"/>
        <s v="Motorola Solutions Inc"/>
        <s v="VF Corp"/>
        <s v="Waste Management Inc"/>
        <s v="Delta Air Lines Inc"/>
        <s v="Verisk Analytics Inc"/>
        <s v="Matrix Service Co"/>
        <s v="CH Robinson Worldwide Inc"/>
        <s v="XPO Logistics Inc"/>
        <s v="United Rentals Inc"/>
        <s v="PepsiCo Inc"/>
        <s v="General Motors Co"/>
        <s v="Avery Dennison Corp"/>
        <s v="Aptiv PLC"/>
        <s v="Lumen Technologies Inc"/>
        <s v="ZIM Integrated Shipping Services Ltd"/>
        <s v="Perdoceo Education Corp"/>
        <s v="Hasbro Inc"/>
        <s v="Pool Corp"/>
        <s v="Honeywell International Inc"/>
        <s v="Altria Group Inc"/>
        <m/>
      </sharedItems>
    </cacheField>
    <cacheField name="total_median_score" numFmtId="0">
      <sharedItems containsString="0" containsBlank="1" containsNumber="1">
        <n v="1103.0"/>
        <n v="822.5"/>
        <n v="976.5"/>
        <n v="1092.0"/>
        <n v="969.0"/>
        <n v="1199.5"/>
        <n v="886.0"/>
        <n v="937.0"/>
        <n v="1077.0"/>
        <n v="948.0"/>
        <n v="867.0"/>
        <n v="1100.0"/>
        <n v="945.0"/>
        <n v="1148.0"/>
        <n v="824.0"/>
        <n v="1125.0"/>
        <n v="959.0"/>
        <n v="1132.0"/>
        <n v="1041.0"/>
        <n v="1127.0"/>
        <n v="1120.0"/>
        <n v="1020.5"/>
        <n v="1123.5"/>
        <n v="1015.0"/>
        <n v="1039.0"/>
        <n v="746.0"/>
        <n v="1187.5"/>
        <n v="1056.0"/>
        <n v="1145.5"/>
        <n v="880.0"/>
        <n v="1113.0"/>
        <n v="873.0"/>
        <n v="1157.0"/>
        <n v="696.0"/>
        <n v="903.0"/>
        <n v="950.0"/>
        <n v="698.0"/>
        <n v="827.0"/>
        <n v="1141.0"/>
        <n v="1165.0"/>
        <m/>
      </sharedItems>
    </cacheField>
    <cacheField name="total_score_difference" numFmtId="0">
      <sharedItems containsString="0" containsBlank="1" containsNumber="1" containsInteger="1">
        <n v="912.0"/>
        <n v="611.0"/>
        <n v="706.0"/>
        <n v="754.0"/>
        <n v="652.0"/>
        <n v="899.0"/>
        <n v="608.0"/>
        <n v="690.0"/>
        <n v="632.0"/>
        <n v="815.0"/>
        <n v="875.0"/>
        <n v="587.0"/>
        <n v="574.0"/>
        <n v="535.0"/>
        <n v="529.0"/>
        <n v="645.0"/>
        <n v="816.0"/>
        <n v="600.0"/>
        <n v="375.0"/>
        <n v="617.0"/>
        <n v="804.0"/>
        <n v="715.0"/>
        <n v="521.0"/>
        <n v="485.0"/>
        <n v="627.0"/>
        <n v="499.0"/>
        <n v="464.0"/>
        <n v="656.0"/>
        <n v="474.0"/>
        <n v="386.0"/>
        <n v="449.0"/>
        <n v="445.0"/>
        <n v="104.0"/>
        <n v="604.0"/>
        <n v="452.0"/>
        <n v="354.0"/>
        <n v="304.0"/>
        <n v="199.0"/>
        <n v="79.0"/>
        <n v="64.0"/>
        <n v="6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I1486" sheet="Summary stats"/>
  </cacheSource>
  <cacheFields>
    <cacheField name="number_of_companies" numFmtId="0">
      <sharedItems containsString="0" containsBlank="1" containsNumber="1" containsInteger="1">
        <n v="63.0"/>
        <n v="56.0"/>
        <n v="52.0"/>
        <n v="36.0"/>
        <n v="33.0"/>
        <n v="30.0"/>
        <n v="29.0"/>
        <n v="27.0"/>
        <n v="26.0"/>
        <n v="24.0"/>
        <n v="23.0"/>
        <n v="21.0"/>
        <n v="20.0"/>
        <n v="19.0"/>
        <n v="16.0"/>
        <n v="14.0"/>
        <n v="11.0"/>
        <n v="10.0"/>
        <n v="9.0"/>
        <n v="7.0"/>
        <n v="6.0"/>
        <n v="5.0"/>
        <n v="4.0"/>
        <n v="3.0"/>
        <n v="2.0"/>
        <m/>
      </sharedItems>
    </cacheField>
    <cacheField name="industry" numFmtId="0">
      <sharedItems containsBlank="1">
        <s v="Technology"/>
        <s v="Biotechnology"/>
        <s v="Health Care"/>
        <s v="Real Estate"/>
        <s v="Financial Services"/>
        <s v="Utilities"/>
        <s v="Banking"/>
        <s v="Electrical Equipment"/>
        <s v="Insurance"/>
        <s v="Retail"/>
        <s v="Hotels Restaurants and Leisure"/>
        <s v="Semiconductors"/>
        <s v="Media"/>
        <s v="Energy"/>
        <s v="Pharmaceuticals"/>
        <s v="Machinery"/>
        <s v="Consumer products"/>
        <s v="Chemicals"/>
        <s v="Life Sciences Tools and Services"/>
        <s v="Food Products"/>
        <s v="Aerospace and Defense"/>
        <s v="Metals and Mining"/>
        <s v="Building"/>
        <s v="Communications"/>
        <s v="Textiles Apparel and Luxury Goods"/>
        <s v="Commercial Services and Supplies"/>
        <s v="Airlines"/>
        <s v="Professional Services"/>
        <s v="Construction"/>
        <s v="Logistics and Transportation"/>
        <s v="Road and Rail"/>
        <s v="Trading Companies and Distributors"/>
        <s v="Beverages"/>
        <s v="Automobiles"/>
        <s v="Packaging"/>
        <s v="Auto Components"/>
        <s v="Telecommunication"/>
        <s v="Marine"/>
        <s v="Diversified Consumer Services"/>
        <s v="Leisure Products"/>
        <s v="Distributors"/>
        <s v="Industrial Conglomerates"/>
        <s v="Tobacco"/>
        <m/>
      </sharedItems>
    </cacheField>
    <cacheField name="E_min_score" numFmtId="0">
      <sharedItems containsString="0" containsBlank="1" containsNumber="1" containsInteger="1">
        <n v="200.0"/>
        <n v="223.0"/>
        <n v="205.0"/>
        <n v="203.0"/>
        <n v="345.0"/>
        <n v="220.0"/>
        <n v="215.0"/>
        <n v="210.0"/>
        <n v="235.0"/>
        <n v="255.0"/>
        <n v="234.0"/>
        <n v="290.0"/>
        <n v="230.0"/>
        <n v="500.0"/>
        <n v="242.0"/>
        <n v="233.0"/>
        <n v="515.0"/>
        <n v="526.0"/>
        <m/>
      </sharedItems>
    </cacheField>
    <cacheField name="E_max_score" numFmtId="0">
      <sharedItems containsString="0" containsBlank="1" containsNumber="1" containsInteger="1">
        <n v="715.0"/>
        <n v="575.0"/>
        <n v="607.0"/>
        <n v="700.0"/>
        <n v="580.0"/>
        <n v="565.0"/>
        <n v="605.0"/>
        <n v="668.0"/>
        <n v="558.0"/>
        <n v="543.0"/>
        <n v="578.0"/>
        <n v="573.0"/>
        <n v="587.0"/>
        <n v="545.0"/>
        <n v="675.0"/>
        <n v="510.0"/>
        <n v="508.0"/>
        <n v="613.0"/>
        <n v="515.0"/>
        <n v="615.0"/>
        <n v="589.0"/>
        <n v="560.0"/>
        <n v="477.0"/>
        <n v="719.0"/>
        <n v="555.0"/>
        <n v="535.0"/>
        <n v="345.0"/>
        <n v="365.0"/>
        <n v="269.0"/>
        <n v="520.0"/>
        <m/>
      </sharedItems>
    </cacheField>
    <cacheField name="E_median_score" numFmtId="0">
      <sharedItems containsString="0" containsBlank="1" containsNumber="1">
        <n v="500.0"/>
        <n v="240.0"/>
        <n v="385.5"/>
        <n v="335.0"/>
        <n v="558.5"/>
        <n v="308.0"/>
        <n v="410.0"/>
        <n v="355.0"/>
        <n v="338.0"/>
        <n v="505.0"/>
        <n v="295.0"/>
        <n v="535.0"/>
        <n v="285.0"/>
        <n v="359.0"/>
        <n v="510.0"/>
        <n v="520.0"/>
        <n v="450.0"/>
        <n v="370.0"/>
        <n v="418.0"/>
        <n v="287.0"/>
        <n v="555.0"/>
        <n v="515.0"/>
        <n v="488.5"/>
        <n v="255.0"/>
        <n v="487.0"/>
        <n v="401.0"/>
        <n v="545.0"/>
        <n v="260.0"/>
        <n v="342.0"/>
        <n v="329.0"/>
        <n v="290.0"/>
        <n v="525.0"/>
        <n v="533.0"/>
        <m/>
      </sharedItems>
    </cacheField>
    <cacheField name="S_min_score" numFmtId="0">
      <sharedItems containsString="0" containsBlank="1" containsNumber="1" containsInteger="1">
        <n v="205.0"/>
        <n v="201.0"/>
        <n v="200.0"/>
        <n v="204.0"/>
        <n v="221.0"/>
        <n v="208.0"/>
        <n v="202.0"/>
        <n v="203.0"/>
        <n v="239.0"/>
        <n v="248.0"/>
        <n v="237.0"/>
        <n v="211.0"/>
        <n v="264.0"/>
        <n v="210.0"/>
        <n v="257.0"/>
        <n v="160.0"/>
        <n v="303.0"/>
        <n v="224.0"/>
        <n v="225.0"/>
        <n v="300.0"/>
        <n v="327.0"/>
        <m/>
      </sharedItems>
    </cacheField>
    <cacheField name="S_max_score" numFmtId="0">
      <sharedItems containsString="0" containsBlank="1" containsNumber="1" containsInteger="1">
        <n v="443.0"/>
        <n v="346.0"/>
        <n v="399.0"/>
        <n v="404.0"/>
        <n v="350.0"/>
        <n v="667.0"/>
        <n v="394.0"/>
        <n v="415.0"/>
        <n v="355.0"/>
        <n v="349.0"/>
        <n v="570.0"/>
        <n v="330.0"/>
        <n v="515.0"/>
        <n v="544.0"/>
        <n v="360.0"/>
        <n v="391.0"/>
        <n v="422.0"/>
        <n v="442.0"/>
        <n v="354.0"/>
        <n v="374.0"/>
        <n v="337.0"/>
        <n v="389.0"/>
        <n v="352.0"/>
        <n v="408.0"/>
        <n v="321.0"/>
        <n v="366.0"/>
        <n v="390.0"/>
        <n v="423.0"/>
        <n v="385.0"/>
        <n v="344.0"/>
        <n v="303.0"/>
        <n v="347.0"/>
        <n v="339.0"/>
        <n v="331.0"/>
        <n v="351.0"/>
        <n v="297.0"/>
        <n v="301.0"/>
        <n v="306.0"/>
        <n v="327.0"/>
        <m/>
      </sharedItems>
    </cacheField>
    <cacheField name="S_median_score" numFmtId="0">
      <sharedItems containsString="0" containsBlank="1" containsNumber="1">
        <n v="307.0"/>
        <n v="280.0"/>
        <n v="300.5"/>
        <n v="300.0"/>
        <n v="303.0"/>
        <n v="326.5"/>
        <n v="294.0"/>
        <n v="305.0"/>
        <n v="302.0"/>
        <n v="264.0"/>
        <n v="315.0"/>
        <n v="299.0"/>
        <n v="312.0"/>
        <n v="301.5"/>
        <n v="304.0"/>
        <n v="310.0"/>
        <n v="303.5"/>
        <n v="298.0"/>
        <n v="316.0"/>
        <n v="290.0"/>
        <n v="314.5"/>
        <n v="306.0"/>
        <n v="227.0"/>
        <n v="321.0"/>
        <n v="206.0"/>
        <n v="327.0"/>
        <n v="203.0"/>
        <n v="253.0"/>
        <m/>
      </sharedItems>
    </cacheField>
    <cacheField name="G_min_score" numFmtId="0">
      <sharedItems containsString="0" containsBlank="1" containsNumber="1" containsInteger="1">
        <n v="200.0"/>
        <n v="75.0"/>
        <n v="215.0"/>
        <n v="210.0"/>
        <n v="220.0"/>
        <n v="223.0"/>
        <n v="205.0"/>
        <n v="278.0"/>
        <n v="237.0"/>
        <n v="245.0"/>
        <n v="257.0"/>
        <n v="230.0"/>
        <n v="305.0"/>
        <n v="300.0"/>
        <n v="315.0"/>
        <m/>
      </sharedItems>
    </cacheField>
    <cacheField name="G_max_score" numFmtId="0">
      <sharedItems containsString="0" containsBlank="1" containsNumber="1" containsInteger="1">
        <n v="375.0"/>
        <n v="364.0"/>
        <n v="338.0"/>
        <n v="365.0"/>
        <n v="335.0"/>
        <n v="370.0"/>
        <n v="475.0"/>
        <n v="340.0"/>
        <n v="460.0"/>
        <n v="400.0"/>
        <n v="355.0"/>
        <n v="315.0"/>
        <n v="320.0"/>
        <n v="348.0"/>
        <n v="330.0"/>
        <n v="385.0"/>
        <n v="325.0"/>
        <n v="313.0"/>
        <n v="310.0"/>
        <n v="300.0"/>
        <n v="358.0"/>
        <n v="278.0"/>
        <n v="305.0"/>
        <n v="250.0"/>
        <n v="308.0"/>
        <n v="341.0"/>
        <m/>
      </sharedItems>
    </cacheField>
    <cacheField name="G_median_score" numFmtId="0">
      <sharedItems containsString="0" containsBlank="1" containsNumber="1">
        <n v="305.0"/>
        <n v="300.0"/>
        <n v="275.0"/>
        <n v="265.0"/>
        <n v="267.5"/>
        <n v="235.0"/>
        <n v="270.0"/>
        <n v="302.5"/>
        <n v="295.0"/>
        <n v="248.0"/>
        <n v="277.5"/>
        <n v="301.5"/>
        <n v="240.0"/>
        <n v="297.5"/>
        <n v="230.0"/>
        <n v="205.0"/>
        <n v="328.0"/>
        <m/>
      </sharedItems>
    </cacheField>
    <cacheField name="Total_min_score" numFmtId="0">
      <sharedItems containsString="0" containsBlank="1" containsNumber="1" containsInteger="1">
        <n v="621.0"/>
        <n v="604.0"/>
        <n v="600.0"/>
        <n v="609.0"/>
        <n v="610.0"/>
        <n v="629.0"/>
        <n v="668.0"/>
        <n v="618.0"/>
        <n v="608.0"/>
        <n v="607.0"/>
        <n v="637.0"/>
        <n v="645.0"/>
        <n v="709.0"/>
        <n v="647.0"/>
        <n v="626.0"/>
        <n v="659.0"/>
        <n v="901.0"/>
        <n v="633.0"/>
        <n v="615.0"/>
        <n v="694.0"/>
        <n v="636.0"/>
        <n v="679.0"/>
        <n v="817.0"/>
        <n v="769.0"/>
        <n v="792.0"/>
        <n v="641.0"/>
        <n v="601.0"/>
        <n v="623.0"/>
        <n v="1103.0"/>
        <n v="715.0"/>
        <n v="646.0"/>
        <n v="657.0"/>
        <n v="1065.0"/>
        <n v="1133.0"/>
        <n v="1162.0"/>
        <m/>
      </sharedItems>
    </cacheField>
    <cacheField name="total_min_score_company_name" numFmtId="0">
      <sharedItems containsBlank="1">
        <s v="Adobe Inc"/>
        <s v="Aadi Bioscience Inc"/>
        <s v="Teleflex Inc"/>
        <s v="CBRE Group Inc"/>
        <s v="Yiren Digital Ltd"/>
        <s v="Xcel Energy Inc"/>
        <s v="Zions Bancorporation NA"/>
        <s v="Corning Inc"/>
        <s v="Globe Life Inc"/>
        <s v="Lowe's Companies Inc"/>
        <s v="Allied Esports Entertainment Inc"/>
        <s v="Advanced Micro Devices Inc"/>
        <s v="Playstudios Inc"/>
        <s v="Chevron Corp"/>
        <s v="Clearside Biomedical Inc"/>
        <s v="Caterpillar Inc"/>
        <s v="Garmin Ltd"/>
        <s v="Dow Inc"/>
        <s v="Absci Corp"/>
        <s v="Lamb Weston Holdings Inc"/>
        <s v="HEICO Corp"/>
        <s v="Warrior Met Coal Inc"/>
        <s v="Carrier Global Corp"/>
        <s v="F5 Inc"/>
        <s v="Ever-Glory International Group Inc"/>
        <s v="Copart Inc"/>
        <s v="United Airlines Holdings Inc"/>
        <s v="Upwork Inc"/>
        <s v="Granite Construction Inc"/>
        <s v="Air T Inc"/>
        <s v="Union Pacific Corp"/>
        <s v="Euro Tech Holdings Company Ltd"/>
        <s v="Coca-Cola Co"/>
        <s v="Xpeng Inc"/>
        <s v="Packaging Corp of America"/>
        <s v="XL Fleet Corp"/>
        <s v="AT&amp;T Inc"/>
        <s v="Costamare Inc"/>
        <s v="ATA Creativity Global"/>
        <s v="Ammo Inc"/>
        <s v="Genuine Parts Co"/>
        <s v="General Electric Co"/>
        <s v="Philip Morris International Inc"/>
        <m/>
      </sharedItems>
    </cacheField>
    <cacheField name="Total_max_score" numFmtId="0">
      <sharedItems containsString="0" containsBlank="1" containsNumber="1" containsInteger="1">
        <n v="1533.0"/>
        <n v="1215.0"/>
        <n v="1306.0"/>
        <n v="1363.0"/>
        <n v="1262.0"/>
        <n v="1528.0"/>
        <n v="1208.0"/>
        <n v="1290.0"/>
        <n v="1300.0"/>
        <n v="1433.0"/>
        <n v="1475.0"/>
        <n v="1195.0"/>
        <n v="1181.0"/>
        <n v="1536.0"/>
        <n v="1180.0"/>
        <n v="1238.0"/>
        <n v="1292.0"/>
        <n v="1442.0"/>
        <n v="1259.0"/>
        <n v="1276.0"/>
        <n v="1250.0"/>
        <n v="1419.0"/>
        <n v="1409.0"/>
        <n v="1157.0"/>
        <n v="1106.0"/>
        <n v="1128.0"/>
        <n v="1281.0"/>
        <n v="1256.0"/>
        <n v="1243.0"/>
        <n v="1178.0"/>
        <n v="1090.0"/>
        <n v="1417.0"/>
        <n v="1068.0"/>
        <n v="1207.0"/>
        <n v="1204.0"/>
        <n v="1167.0"/>
        <n v="1000.0"/>
        <n v="912.0"/>
        <n v="856.0"/>
        <n v="1144.0"/>
        <n v="1197.0"/>
        <n v="1168.0"/>
        <m/>
      </sharedItems>
    </cacheField>
    <cacheField name="total_max_score_company_name" numFmtId="0">
      <sharedItems containsBlank="1">
        <s v="Microsoft Corp"/>
        <s v="Amgen Inc"/>
        <s v="Becton Dickinson and Co"/>
        <s v="Hannon Armstrong Sustainable Infrastructure Capital Inc"/>
        <s v="MSCI Inc"/>
        <s v="Edison International"/>
        <s v="Pacific Premier Bancorp Inc"/>
        <s v="Amphenol Corp"/>
        <s v="Lincoln National Corp"/>
        <s v="Amazon.com Inc"/>
        <s v="Airbnb Inc"/>
        <s v="Maxlinear Inc"/>
        <s v="Omnicom Group Inc"/>
        <s v="Conocophillips"/>
        <s v="Eli Lilly and Co"/>
        <s v="Westinghouse Air Brake Technologies Corp"/>
        <s v="Procter &amp; Gamble Co"/>
        <s v="Air Products and Chemicals Inc"/>
        <s v="Danaher Corp"/>
        <s v="General Mills Inc"/>
        <s v="Raytheon Technologies Corp"/>
        <s v="Newmont Corporation"/>
        <s v="Trane Technologies PLC"/>
        <s v="Motorola Solutions Inc"/>
        <s v="VF Corp"/>
        <s v="Waste Management Inc"/>
        <s v="Delta Air Lines Inc"/>
        <s v="Verisk Analytics Inc"/>
        <s v="Matrix Service Co"/>
        <s v="CH Robinson Worldwide Inc"/>
        <s v="XPO Logistics Inc"/>
        <s v="United Rentals Inc"/>
        <s v="PepsiCo Inc"/>
        <s v="General Motors Co"/>
        <s v="Avery Dennison Corp"/>
        <s v="Aptiv PLC"/>
        <s v="Lumen Technologies Inc"/>
        <s v="ZIM Integrated Shipping Services Ltd"/>
        <s v="Perdoceo Education Corp"/>
        <s v="Hasbro Inc"/>
        <s v="Pool Corp"/>
        <s v="Honeywell International Inc"/>
        <s v="Altria Group Inc"/>
        <m/>
      </sharedItems>
    </cacheField>
    <cacheField name="total_median_score" numFmtId="0">
      <sharedItems containsString="0" containsBlank="1" containsNumber="1">
        <n v="1103.0"/>
        <n v="822.5"/>
        <n v="976.5"/>
        <n v="1092.0"/>
        <n v="969.0"/>
        <n v="1199.5"/>
        <n v="886.0"/>
        <n v="937.0"/>
        <n v="1077.0"/>
        <n v="948.0"/>
        <n v="867.0"/>
        <n v="1100.0"/>
        <n v="945.0"/>
        <n v="1148.0"/>
        <n v="824.0"/>
        <n v="1125.0"/>
        <n v="959.0"/>
        <n v="1132.0"/>
        <n v="1041.0"/>
        <n v="1127.0"/>
        <n v="1120.0"/>
        <n v="1020.5"/>
        <n v="1123.5"/>
        <n v="1015.0"/>
        <n v="1039.0"/>
        <n v="746.0"/>
        <n v="1187.5"/>
        <n v="1056.0"/>
        <n v="1145.5"/>
        <n v="880.0"/>
        <n v="1113.0"/>
        <n v="873.0"/>
        <n v="1157.0"/>
        <n v="696.0"/>
        <n v="903.0"/>
        <n v="950.0"/>
        <n v="698.0"/>
        <n v="827.0"/>
        <n v="1141.0"/>
        <n v="1165.0"/>
        <m/>
      </sharedItems>
    </cacheField>
    <cacheField name="total_score_difference" numFmtId="0">
      <sharedItems containsString="0" containsBlank="1" containsNumber="1" containsInteger="1">
        <n v="912.0"/>
        <n v="611.0"/>
        <n v="706.0"/>
        <n v="754.0"/>
        <n v="652.0"/>
        <n v="899.0"/>
        <n v="608.0"/>
        <n v="690.0"/>
        <n v="632.0"/>
        <n v="815.0"/>
        <n v="875.0"/>
        <n v="587.0"/>
        <n v="574.0"/>
        <n v="535.0"/>
        <n v="529.0"/>
        <n v="645.0"/>
        <n v="816.0"/>
        <n v="600.0"/>
        <n v="375.0"/>
        <n v="617.0"/>
        <n v="804.0"/>
        <n v="715.0"/>
        <n v="521.0"/>
        <n v="485.0"/>
        <n v="627.0"/>
        <n v="499.0"/>
        <n v="464.0"/>
        <n v="656.0"/>
        <n v="474.0"/>
        <n v="386.0"/>
        <n v="449.0"/>
        <n v="445.0"/>
        <n v="104.0"/>
        <n v="604.0"/>
        <n v="452.0"/>
        <n v="354.0"/>
        <n v="304.0"/>
        <n v="199.0"/>
        <n v="79.0"/>
        <n v="64.0"/>
        <n v="6.0"/>
        <m/>
      </sharedItems>
    </cacheField>
    <cacheField name="Column 3" numFmtId="0">
      <sharedItems containsString="0" containsBlank="1">
        <m/>
      </sharedItems>
    </cacheField>
    <cacheField name="Column 4" numFmtId="0">
      <sharedItems containsString="0" containsBlank="1">
        <m/>
      </sharedItems>
    </cacheField>
    <cacheField name="Column 5" numFmtId="0">
      <sharedItems containsString="0" containsBlank="1">
        <m/>
      </sharedItems>
    </cacheField>
    <cacheField name="Column 6" numFmtId="0">
      <sharedItems containsString="0" containsBlank="1">
        <m/>
      </sharedItems>
    </cacheField>
    <cacheField name="Column 7" numFmtId="0">
      <sharedItems containsString="0" containsBlank="1">
        <m/>
      </sharedItems>
    </cacheField>
    <cacheField name="Column 8" numFmtId="0">
      <sharedItems containsString="0" containsBlank="1">
        <m/>
      </sharedItems>
    </cacheField>
    <cacheField name="Column 9" numFmtId="0">
      <sharedItems containsString="0" containsBlank="1">
        <m/>
      </sharedItems>
    </cacheField>
    <cacheField name="Column 10" numFmtId="0">
      <sharedItems containsString="0" containsBlank="1">
        <m/>
      </sharedItems>
    </cacheField>
    <cacheField name="Column 11" numFmtId="0">
      <sharedItems containsString="0" containsBlank="1">
        <m/>
      </sharedItems>
    </cacheField>
    <cacheField name="Column 12" numFmtId="0">
      <sharedItems containsString="0" containsBlank="1">
        <m/>
      </sharedItems>
    </cacheField>
    <cacheField name="Column 13" numFmtId="0">
      <sharedItems containsString="0" containsBlank="1">
        <m/>
      </sharedItems>
    </cacheField>
    <cacheField name="Column 14" numFmtId="0">
      <sharedItems containsString="0" containsBlank="1">
        <m/>
      </sharedItems>
    </cacheField>
    <cacheField name="Column 15" numFmtId="0">
      <sharedItems containsString="0" containsBlank="1">
        <m/>
      </sharedItems>
    </cacheField>
    <cacheField name="Column 16" numFmtId="0">
      <sharedItems containsString="0" containsBlank="1">
        <m/>
      </sharedItems>
    </cacheField>
    <cacheField name="Column 17" numFmtId="0">
      <sharedItems containsString="0" containsBlank="1">
        <m/>
      </sharedItems>
    </cacheField>
    <cacheField name="Column 18" numFmtId="0">
      <sharedItems containsString="0" containsBlank="1">
        <m/>
      </sharedItems>
    </cacheField>
    <cacheField name="Column 19" numFmtId="0">
      <sharedItems containsString="0" containsBlank="1">
        <m/>
      </sharedItems>
    </cacheField>
    <cacheField name="Column 20" numFmtId="0">
      <sharedItems containsString="0" containsBlank="1">
        <m/>
      </sharedItems>
    </cacheField>
    <cacheField name="Column 21" numFmtId="0">
      <sharedItems containsString="0" containsBlank="1">
        <m/>
      </sharedItems>
    </cacheField>
    <cacheField name="Column 22" numFmtId="0">
      <sharedItems containsString="0" containsBlank="1">
        <m/>
      </sharedItems>
    </cacheField>
    <cacheField name="Column 23" numFmtId="0">
      <sharedItems containsString="0" containsBlank="1">
        <m/>
      </sharedItems>
    </cacheField>
    <cacheField name="Column 24" numFmtId="0">
      <sharedItems containsString="0" containsBlank="1">
        <m/>
      </sharedItems>
    </cacheField>
    <cacheField name="Column 25" numFmtId="0">
      <sharedItems containsString="0" containsBlank="1">
        <m/>
      </sharedItems>
    </cacheField>
    <cacheField name="Column 26" numFmtId="0">
      <sharedItems containsString="0" containsBlank="1">
        <m/>
      </sharedItems>
    </cacheField>
    <cacheField name="Column 27" numFmtId="0">
      <sharedItems containsString="0" containsBlank="1">
        <m/>
      </sharedItems>
    </cacheField>
    <cacheField name="Column 28" numFmtId="0">
      <sharedItems containsString="0" containsBlank="1">
        <m/>
      </sharedItems>
    </cacheField>
    <cacheField name="Column 29" numFmtId="0">
      <sharedItems containsString="0" containsBlank="1">
        <m/>
      </sharedItems>
    </cacheField>
    <cacheField name="Column 30" numFmtId="0">
      <sharedItems containsString="0" containsBlank="1">
        <m/>
      </sharedItems>
    </cacheField>
    <cacheField name="Column 31" numFmtId="0">
      <sharedItems containsString="0" containsBlank="1">
        <m/>
      </sharedItems>
    </cacheField>
    <cacheField name="Column 32" numFmtId="0">
      <sharedItems containsString="0" containsBlank="1">
        <m/>
      </sharedItems>
    </cacheField>
    <cacheField name="Column 33" numFmtId="0">
      <sharedItems containsString="0" containsBlank="1">
        <m/>
      </sharedItems>
    </cacheField>
    <cacheField name="Column 34" numFmtId="0">
      <sharedItems containsString="0" containsBlank="1">
        <m/>
      </sharedItems>
    </cacheField>
    <cacheField name="Column 35" numFmtId="0">
      <sharedItems containsString="0" containsBlank="1">
        <m/>
      </sharedItems>
    </cacheField>
    <cacheField name="Column 36" numFmtId="0">
      <sharedItems containsString="0" containsBlank="1">
        <m/>
      </sharedItems>
    </cacheField>
    <cacheField name="Column 37" numFmtId="0">
      <sharedItems containsString="0" containsBlank="1">
        <m/>
      </sharedItems>
    </cacheField>
    <cacheField name="Column 38" numFmtId="0">
      <sharedItems containsString="0" containsBlank="1">
        <m/>
      </sharedItems>
    </cacheField>
    <cacheField name="Column 39" numFmtId="0">
      <sharedItems containsString="0" containsBlank="1">
        <m/>
      </sharedItems>
    </cacheField>
    <cacheField name="Column 40" numFmtId="0">
      <sharedItems containsString="0" containsBlank="1">
        <m/>
      </sharedItems>
    </cacheField>
    <cacheField name="Column 41" numFmtId="0">
      <sharedItems containsString="0" containsBlank="1">
        <m/>
      </sharedItems>
    </cacheField>
    <cacheField name="Column 42" numFmtId="0">
      <sharedItems containsString="0" containsBlank="1">
        <m/>
      </sharedItems>
    </cacheField>
    <cacheField name="Column 43" numFmtId="0">
      <sharedItems containsString="0" containsBlank="1">
        <m/>
      </sharedItems>
    </cacheField>
    <cacheField name="Column 44" numFmtId="0">
      <sharedItems containsString="0" containsBlank="1">
        <m/>
      </sharedItems>
    </cacheField>
    <cacheField name="Column 45" numFmtId="0">
      <sharedItems containsString="0" containsBlank="1">
        <m/>
      </sharedItems>
    </cacheField>
    <cacheField name="Column 46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Difference within industries" cacheId="0" dataCaption="" rowGrandTotals="0" compact="0" compactData="0">
  <location ref="A1:C45" firstHeaderRow="0" firstDataRow="2" firstDataCol="0"/>
  <pivotFields>
    <pivotField name="number_of_compani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industry" axis="axisRow" compact="0" outline="0" multipleItemSelectionAllowed="1" showAll="0" sortType="ascending">
      <items>
        <item x="43"/>
        <item x="20"/>
        <item x="26"/>
        <item x="35"/>
        <item x="33"/>
        <item x="6"/>
        <item x="32"/>
        <item x="1"/>
        <item x="22"/>
        <item x="17"/>
        <item x="25"/>
        <item x="23"/>
        <item x="28"/>
        <item x="16"/>
        <item x="40"/>
        <item x="38"/>
        <item x="7"/>
        <item x="13"/>
        <item x="4"/>
        <item x="19"/>
        <item x="2"/>
        <item x="10"/>
        <item x="41"/>
        <item x="8"/>
        <item x="39"/>
        <item x="18"/>
        <item x="29"/>
        <item x="15"/>
        <item x="37"/>
        <item x="12"/>
        <item x="21"/>
        <item x="34"/>
        <item x="14"/>
        <item x="27"/>
        <item x="3"/>
        <item x="9"/>
        <item x="30"/>
        <item x="11"/>
        <item x="0"/>
        <item x="36"/>
        <item x="24"/>
        <item x="42"/>
        <item x="31"/>
        <item x="5"/>
        <item t="default"/>
      </items>
    </pivotField>
    <pivotField name="E_min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E_max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E_median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S_min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_max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S_median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G_min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G_max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G_median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otal_min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total_min_score_company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Total_max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total_max_score_company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total_median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total_score_differen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</pivotFields>
  <rowFields>
    <field x="1"/>
  </rowFields>
  <colFields>
    <field x="-2"/>
  </colFields>
  <dataFields>
    <dataField name="SUM of number_of_companies" fld="0" baseField="0"/>
    <dataField name="SUM of total_score_difference" fld="16" baseField="0"/>
  </dataFields>
</pivotTableDefinition>
</file>

<file path=xl/pivotTables/pivotTable2.xml><?xml version="1.0" encoding="utf-8"?>
<pivotTableDefinition xmlns="http://schemas.openxmlformats.org/spreadsheetml/2006/main" name="Industry ESG comparison" cacheId="1" dataCaption="" rowGrandTotals="0" compact="0" compactData="0">
  <location ref="A1:E45" firstHeaderRow="0" firstDataRow="2" firstDataCol="0"/>
  <pivotFields>
    <pivotField name="number_of_compan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industry" axis="axisRow" compact="0" outline="0" multipleItemSelectionAllowed="1" showAll="0" sortType="ascending">
      <items>
        <item x="43"/>
        <item x="20"/>
        <item x="26"/>
        <item x="35"/>
        <item x="33"/>
        <item x="6"/>
        <item x="32"/>
        <item x="1"/>
        <item x="22"/>
        <item x="17"/>
        <item x="25"/>
        <item x="23"/>
        <item x="28"/>
        <item x="16"/>
        <item x="40"/>
        <item x="38"/>
        <item x="7"/>
        <item x="13"/>
        <item x="4"/>
        <item x="19"/>
        <item x="2"/>
        <item x="10"/>
        <item x="41"/>
        <item x="8"/>
        <item x="39"/>
        <item x="18"/>
        <item x="29"/>
        <item x="15"/>
        <item x="37"/>
        <item x="12"/>
        <item x="21"/>
        <item x="34"/>
        <item x="14"/>
        <item x="27"/>
        <item x="3"/>
        <item x="9"/>
        <item x="30"/>
        <item x="11"/>
        <item x="0"/>
        <item x="36"/>
        <item x="24"/>
        <item x="42"/>
        <item x="31"/>
        <item x="5"/>
        <item t="default"/>
      </items>
    </pivotField>
    <pivotField name="E_min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E_max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E_median_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S_min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S_max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S_median_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G_min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G_max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G_median_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Total_min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total_min_score_company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Total_max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total_max_score_company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total_median_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total_score_differ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Column 3" compact="0" outline="0" multipleItemSelectionAllowed="1" showAll="0">
      <items>
        <item x="0"/>
        <item t="default"/>
      </items>
    </pivotField>
    <pivotField name="Column 4" compact="0" outline="0" multipleItemSelectionAllowed="1" showAll="0">
      <items>
        <item x="0"/>
        <item t="default"/>
      </items>
    </pivotField>
    <pivotField name="Column 5" compact="0" outline="0" multipleItemSelectionAllowed="1" showAll="0">
      <items>
        <item x="0"/>
        <item t="default"/>
      </items>
    </pivotField>
    <pivotField name="Column 6" compact="0" outline="0" multipleItemSelectionAllowed="1" showAll="0">
      <items>
        <item x="0"/>
        <item t="default"/>
      </items>
    </pivotField>
    <pivotField name="Column 7" compact="0" outline="0" multipleItemSelectionAllowed="1" showAll="0">
      <items>
        <item x="0"/>
        <item t="default"/>
      </items>
    </pivotField>
    <pivotField name="Column 8" compact="0" outline="0" multipleItemSelectionAllowed="1" showAll="0">
      <items>
        <item x="0"/>
        <item t="default"/>
      </items>
    </pivotField>
    <pivotField name="Column 9" compact="0" outline="0" multipleItemSelectionAllowed="1" showAll="0">
      <items>
        <item x="0"/>
        <item t="default"/>
      </items>
    </pivotField>
    <pivotField name="Column 10" compact="0" outline="0" multipleItemSelectionAllowed="1" showAll="0">
      <items>
        <item x="0"/>
        <item t="default"/>
      </items>
    </pivotField>
    <pivotField name="Column 11" compact="0" outline="0" multipleItemSelectionAllowed="1" showAll="0">
      <items>
        <item x="0"/>
        <item t="default"/>
      </items>
    </pivotField>
    <pivotField name="Column 12" compact="0" outline="0" multipleItemSelectionAllowed="1" showAll="0">
      <items>
        <item x="0"/>
        <item t="default"/>
      </items>
    </pivotField>
    <pivotField name="Column 13" compact="0" outline="0" multipleItemSelectionAllowed="1" showAll="0">
      <items>
        <item x="0"/>
        <item t="default"/>
      </items>
    </pivotField>
    <pivotField name="Column 14" compact="0" outline="0" multipleItemSelectionAllowed="1" showAll="0">
      <items>
        <item x="0"/>
        <item t="default"/>
      </items>
    </pivotField>
    <pivotField name="Column 15" compact="0" outline="0" multipleItemSelectionAllowed="1" showAll="0">
      <items>
        <item x="0"/>
        <item t="default"/>
      </items>
    </pivotField>
    <pivotField name="Column 16" compact="0" outline="0" multipleItemSelectionAllowed="1" showAll="0">
      <items>
        <item x="0"/>
        <item t="default"/>
      </items>
    </pivotField>
    <pivotField name="Column 17" compact="0" outline="0" multipleItemSelectionAllowed="1" showAll="0">
      <items>
        <item x="0"/>
        <item t="default"/>
      </items>
    </pivotField>
    <pivotField name="Column 18" compact="0" outline="0" multipleItemSelectionAllowed="1" showAll="0">
      <items>
        <item x="0"/>
        <item t="default"/>
      </items>
    </pivotField>
    <pivotField name="Column 19" compact="0" outline="0" multipleItemSelectionAllowed="1" showAll="0">
      <items>
        <item x="0"/>
        <item t="default"/>
      </items>
    </pivotField>
    <pivotField name="Column 20" compact="0" outline="0" multipleItemSelectionAllowed="1" showAll="0">
      <items>
        <item x="0"/>
        <item t="default"/>
      </items>
    </pivotField>
    <pivotField name="Column 21" compact="0" outline="0" multipleItemSelectionAllowed="1" showAll="0">
      <items>
        <item x="0"/>
        <item t="default"/>
      </items>
    </pivotField>
    <pivotField name="Column 22" compact="0" outline="0" multipleItemSelectionAllowed="1" showAll="0">
      <items>
        <item x="0"/>
        <item t="default"/>
      </items>
    </pivotField>
    <pivotField name="Column 23" compact="0" outline="0" multipleItemSelectionAllowed="1" showAll="0">
      <items>
        <item x="0"/>
        <item t="default"/>
      </items>
    </pivotField>
    <pivotField name="Column 24" compact="0" outline="0" multipleItemSelectionAllowed="1" showAll="0">
      <items>
        <item x="0"/>
        <item t="default"/>
      </items>
    </pivotField>
    <pivotField name="Column 25" compact="0" outline="0" multipleItemSelectionAllowed="1" showAll="0">
      <items>
        <item x="0"/>
        <item t="default"/>
      </items>
    </pivotField>
    <pivotField name="Column 26" compact="0" outline="0" multipleItemSelectionAllowed="1" showAll="0">
      <items>
        <item x="0"/>
        <item t="default"/>
      </items>
    </pivotField>
    <pivotField name="Column 27" compact="0" outline="0" multipleItemSelectionAllowed="1" showAll="0">
      <items>
        <item x="0"/>
        <item t="default"/>
      </items>
    </pivotField>
    <pivotField name="Column 28" compact="0" outline="0" multipleItemSelectionAllowed="1" showAll="0">
      <items>
        <item x="0"/>
        <item t="default"/>
      </items>
    </pivotField>
    <pivotField name="Column 29" compact="0" outline="0" multipleItemSelectionAllowed="1" showAll="0">
      <items>
        <item x="0"/>
        <item t="default"/>
      </items>
    </pivotField>
    <pivotField name="Column 30" compact="0" outline="0" multipleItemSelectionAllowed="1" showAll="0">
      <items>
        <item x="0"/>
        <item t="default"/>
      </items>
    </pivotField>
    <pivotField name="Column 31" compact="0" outline="0" multipleItemSelectionAllowed="1" showAll="0">
      <items>
        <item x="0"/>
        <item t="default"/>
      </items>
    </pivotField>
    <pivotField name="Column 32" compact="0" outline="0" multipleItemSelectionAllowed="1" showAll="0">
      <items>
        <item x="0"/>
        <item t="default"/>
      </items>
    </pivotField>
    <pivotField name="Column 33" compact="0" outline="0" multipleItemSelectionAllowed="1" showAll="0">
      <items>
        <item x="0"/>
        <item t="default"/>
      </items>
    </pivotField>
    <pivotField name="Column 34" compact="0" outline="0" multipleItemSelectionAllowed="1" showAll="0">
      <items>
        <item x="0"/>
        <item t="default"/>
      </items>
    </pivotField>
    <pivotField name="Column 35" compact="0" outline="0" multipleItemSelectionAllowed="1" showAll="0">
      <items>
        <item x="0"/>
        <item t="default"/>
      </items>
    </pivotField>
    <pivotField name="Column 36" compact="0" outline="0" multipleItemSelectionAllowed="1" showAll="0">
      <items>
        <item x="0"/>
        <item t="default"/>
      </items>
    </pivotField>
    <pivotField name="Column 37" compact="0" outline="0" multipleItemSelectionAllowed="1" showAll="0">
      <items>
        <item x="0"/>
        <item t="default"/>
      </items>
    </pivotField>
    <pivotField name="Column 38" compact="0" outline="0" multipleItemSelectionAllowed="1" showAll="0">
      <items>
        <item x="0"/>
        <item t="default"/>
      </items>
    </pivotField>
    <pivotField name="Column 39" compact="0" outline="0" multipleItemSelectionAllowed="1" showAll="0">
      <items>
        <item x="0"/>
        <item t="default"/>
      </items>
    </pivotField>
    <pivotField name="Column 40" compact="0" outline="0" multipleItemSelectionAllowed="1" showAll="0">
      <items>
        <item x="0"/>
        <item t="default"/>
      </items>
    </pivotField>
    <pivotField name="Column 41" compact="0" outline="0" multipleItemSelectionAllowed="1" showAll="0">
      <items>
        <item x="0"/>
        <item t="default"/>
      </items>
    </pivotField>
    <pivotField name="Column 42" compact="0" outline="0" multipleItemSelectionAllowed="1" showAll="0">
      <items>
        <item x="0"/>
        <item t="default"/>
      </items>
    </pivotField>
    <pivotField name="Column 43" compact="0" outline="0" multipleItemSelectionAllowed="1" showAll="0">
      <items>
        <item x="0"/>
        <item t="default"/>
      </items>
    </pivotField>
    <pivotField name="Column 44" compact="0" outline="0" multipleItemSelectionAllowed="1" showAll="0">
      <items>
        <item x="0"/>
        <item t="default"/>
      </items>
    </pivotField>
    <pivotField name="Column 45" compact="0" outline="0" multipleItemSelectionAllowed="1" showAll="0">
      <items>
        <item x="0"/>
        <item t="default"/>
      </items>
    </pivotField>
    <pivotField name="Column 46" compact="0" outline="0" multipleItemSelectionAllowed="1" showAll="0">
      <items>
        <item x="0"/>
        <item t="default"/>
      </items>
    </pivotField>
  </pivotFields>
  <rowFields>
    <field x="1"/>
  </rowFields>
  <colFields>
    <field x="-2"/>
  </colFields>
  <dataFields>
    <dataField name="E_median_score" fld="4" baseField="0"/>
    <dataField name="S_median_score" fld="7" baseField="0"/>
    <dataField name="G_median_score" fld="10" baseField="0"/>
    <dataField name="Total_median_score" fld="1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/>
      <c r="U1" s="2"/>
      <c r="V1" s="2"/>
      <c r="W1" s="2"/>
      <c r="X1" s="2"/>
    </row>
    <row r="2">
      <c r="A2" s="3" t="s">
        <v>19</v>
      </c>
      <c r="B2" s="3" t="s">
        <v>20</v>
      </c>
      <c r="C2" s="3" t="s">
        <v>21</v>
      </c>
      <c r="D2" s="3" t="s">
        <v>22</v>
      </c>
      <c r="E2" s="4" t="s">
        <v>23</v>
      </c>
      <c r="F2" s="3" t="s">
        <v>24</v>
      </c>
      <c r="G2" s="3" t="s">
        <v>25</v>
      </c>
      <c r="H2" s="3" t="s">
        <v>24</v>
      </c>
      <c r="I2" s="3" t="s">
        <v>25</v>
      </c>
      <c r="J2" s="3" t="s">
        <v>24</v>
      </c>
      <c r="K2" s="3" t="s">
        <v>25</v>
      </c>
      <c r="L2" s="5">
        <v>225.0</v>
      </c>
      <c r="M2" s="5">
        <v>203.0</v>
      </c>
      <c r="N2" s="5">
        <v>205.0</v>
      </c>
      <c r="O2" s="5">
        <v>633.0</v>
      </c>
      <c r="P2" s="6">
        <v>44872.0</v>
      </c>
      <c r="Q2" s="3" t="s">
        <v>24</v>
      </c>
      <c r="R2" s="3" t="s">
        <v>25</v>
      </c>
      <c r="S2" s="5">
        <v>46619.0</v>
      </c>
      <c r="T2" s="3"/>
      <c r="U2" s="3"/>
      <c r="V2" s="3"/>
      <c r="W2" s="3"/>
      <c r="X2" s="3"/>
    </row>
    <row r="3">
      <c r="A3" s="3" t="s">
        <v>26</v>
      </c>
      <c r="B3" s="3" t="s">
        <v>27</v>
      </c>
      <c r="C3" s="3" t="s">
        <v>21</v>
      </c>
      <c r="D3" s="3" t="s">
        <v>22</v>
      </c>
      <c r="E3" s="4" t="s">
        <v>23</v>
      </c>
      <c r="F3" s="3" t="s">
        <v>28</v>
      </c>
      <c r="G3" s="3" t="s">
        <v>29</v>
      </c>
      <c r="H3" s="3" t="s">
        <v>30</v>
      </c>
      <c r="I3" s="3" t="s">
        <v>25</v>
      </c>
      <c r="J3" s="3" t="s">
        <v>31</v>
      </c>
      <c r="K3" s="3" t="s">
        <v>29</v>
      </c>
      <c r="L3" s="5">
        <v>520.0</v>
      </c>
      <c r="M3" s="5">
        <v>330.0</v>
      </c>
      <c r="N3" s="5">
        <v>400.0</v>
      </c>
      <c r="O3" s="5">
        <v>1250.0</v>
      </c>
      <c r="P3" s="6">
        <v>44723.0</v>
      </c>
      <c r="Q3" s="3" t="s">
        <v>28</v>
      </c>
      <c r="R3" s="3" t="s">
        <v>29</v>
      </c>
      <c r="S3" s="5">
        <v>101829.0</v>
      </c>
      <c r="T3" s="3"/>
      <c r="U3" s="3"/>
      <c r="V3" s="3"/>
      <c r="W3" s="3"/>
      <c r="X3" s="3"/>
    </row>
    <row r="4">
      <c r="A4" s="3" t="s">
        <v>32</v>
      </c>
      <c r="B4" s="3" t="s">
        <v>33</v>
      </c>
      <c r="C4" s="3" t="s">
        <v>21</v>
      </c>
      <c r="D4" s="3" t="s">
        <v>22</v>
      </c>
      <c r="E4" s="4" t="s">
        <v>23</v>
      </c>
      <c r="F4" s="3" t="s">
        <v>28</v>
      </c>
      <c r="G4" s="3" t="s">
        <v>29</v>
      </c>
      <c r="H4" s="3" t="s">
        <v>30</v>
      </c>
      <c r="I4" s="3" t="s">
        <v>25</v>
      </c>
      <c r="J4" s="3" t="s">
        <v>30</v>
      </c>
      <c r="K4" s="3" t="s">
        <v>25</v>
      </c>
      <c r="L4" s="5">
        <v>545.0</v>
      </c>
      <c r="M4" s="5">
        <v>315.0</v>
      </c>
      <c r="N4" s="5">
        <v>315.0</v>
      </c>
      <c r="O4" s="5">
        <v>1175.0</v>
      </c>
      <c r="P4" s="6">
        <v>44668.0</v>
      </c>
      <c r="Q4" s="3" t="s">
        <v>31</v>
      </c>
      <c r="R4" s="3" t="s">
        <v>29</v>
      </c>
      <c r="S4" s="5">
        <v>1501585.0</v>
      </c>
      <c r="T4" s="3"/>
      <c r="U4" s="3"/>
      <c r="V4" s="3"/>
      <c r="W4" s="3"/>
      <c r="X4" s="3"/>
    </row>
    <row r="5">
      <c r="A5" s="3" t="s">
        <v>34</v>
      </c>
      <c r="B5" s="3" t="s">
        <v>35</v>
      </c>
      <c r="C5" s="3" t="s">
        <v>21</v>
      </c>
      <c r="D5" s="3" t="s">
        <v>22</v>
      </c>
      <c r="E5" s="4" t="s">
        <v>23</v>
      </c>
      <c r="F5" s="3" t="s">
        <v>28</v>
      </c>
      <c r="G5" s="3" t="s">
        <v>29</v>
      </c>
      <c r="H5" s="3" t="s">
        <v>30</v>
      </c>
      <c r="I5" s="3" t="s">
        <v>25</v>
      </c>
      <c r="J5" s="3" t="s">
        <v>30</v>
      </c>
      <c r="K5" s="3" t="s">
        <v>25</v>
      </c>
      <c r="L5" s="5">
        <v>525.0</v>
      </c>
      <c r="M5" s="5">
        <v>315.0</v>
      </c>
      <c r="N5" s="5">
        <v>320.0</v>
      </c>
      <c r="O5" s="5">
        <v>1160.0</v>
      </c>
      <c r="P5" s="6">
        <v>44722.0</v>
      </c>
      <c r="Q5" s="3" t="s">
        <v>31</v>
      </c>
      <c r="R5" s="3" t="s">
        <v>29</v>
      </c>
      <c r="S5" s="5">
        <v>4281.0</v>
      </c>
      <c r="T5" s="3"/>
      <c r="U5" s="3"/>
      <c r="V5" s="3"/>
      <c r="W5" s="3"/>
      <c r="X5" s="3"/>
    </row>
    <row r="6">
      <c r="A6" s="3" t="s">
        <v>36</v>
      </c>
      <c r="B6" s="3" t="s">
        <v>37</v>
      </c>
      <c r="C6" s="3" t="s">
        <v>21</v>
      </c>
      <c r="D6" s="3" t="s">
        <v>22</v>
      </c>
      <c r="E6" s="4" t="s">
        <v>23</v>
      </c>
      <c r="F6" s="3" t="s">
        <v>28</v>
      </c>
      <c r="G6" s="3" t="s">
        <v>29</v>
      </c>
      <c r="H6" s="3" t="s">
        <v>30</v>
      </c>
      <c r="I6" s="3" t="s">
        <v>25</v>
      </c>
      <c r="J6" s="3" t="s">
        <v>30</v>
      </c>
      <c r="K6" s="3" t="s">
        <v>25</v>
      </c>
      <c r="L6" s="5">
        <v>510.0</v>
      </c>
      <c r="M6" s="5">
        <v>324.0</v>
      </c>
      <c r="N6" s="5">
        <v>320.0</v>
      </c>
      <c r="O6" s="5">
        <v>1154.0</v>
      </c>
      <c r="P6" s="6">
        <v>44669.0</v>
      </c>
      <c r="Q6" s="3" t="s">
        <v>31</v>
      </c>
      <c r="R6" s="3" t="s">
        <v>29</v>
      </c>
      <c r="S6" s="5">
        <v>936468.0</v>
      </c>
      <c r="T6" s="3"/>
      <c r="U6" s="3"/>
      <c r="V6" s="3"/>
      <c r="W6" s="3"/>
      <c r="X6" s="3"/>
    </row>
    <row r="7">
      <c r="A7" s="3" t="s">
        <v>38</v>
      </c>
      <c r="B7" s="3" t="s">
        <v>39</v>
      </c>
      <c r="C7" s="3" t="s">
        <v>21</v>
      </c>
      <c r="D7" s="3" t="s">
        <v>22</v>
      </c>
      <c r="E7" s="4" t="s">
        <v>23</v>
      </c>
      <c r="F7" s="3" t="s">
        <v>28</v>
      </c>
      <c r="G7" s="3" t="s">
        <v>29</v>
      </c>
      <c r="H7" s="3" t="s">
        <v>30</v>
      </c>
      <c r="I7" s="3" t="s">
        <v>25</v>
      </c>
      <c r="J7" s="3" t="s">
        <v>30</v>
      </c>
      <c r="K7" s="3" t="s">
        <v>25</v>
      </c>
      <c r="L7" s="5">
        <v>515.0</v>
      </c>
      <c r="M7" s="5">
        <v>337.0</v>
      </c>
      <c r="N7" s="5">
        <v>300.0</v>
      </c>
      <c r="O7" s="5">
        <v>1152.0</v>
      </c>
      <c r="P7" s="6">
        <v>44670.0</v>
      </c>
      <c r="Q7" s="3" t="s">
        <v>31</v>
      </c>
      <c r="R7" s="3" t="s">
        <v>29</v>
      </c>
      <c r="S7" s="5">
        <v>1364885.0</v>
      </c>
      <c r="T7" s="3"/>
      <c r="U7" s="3"/>
      <c r="V7" s="3"/>
      <c r="W7" s="3"/>
      <c r="X7" s="3"/>
    </row>
    <row r="8">
      <c r="A8" s="3" t="s">
        <v>40</v>
      </c>
      <c r="B8" s="3" t="s">
        <v>41</v>
      </c>
      <c r="C8" s="3" t="s">
        <v>21</v>
      </c>
      <c r="D8" s="3" t="s">
        <v>22</v>
      </c>
      <c r="E8" s="4" t="s">
        <v>23</v>
      </c>
      <c r="F8" s="3" t="s">
        <v>28</v>
      </c>
      <c r="G8" s="3" t="s">
        <v>29</v>
      </c>
      <c r="H8" s="3" t="s">
        <v>30</v>
      </c>
      <c r="I8" s="3" t="s">
        <v>25</v>
      </c>
      <c r="J8" s="3" t="s">
        <v>30</v>
      </c>
      <c r="K8" s="3" t="s">
        <v>25</v>
      </c>
      <c r="L8" s="5">
        <v>510.0</v>
      </c>
      <c r="M8" s="5">
        <v>310.0</v>
      </c>
      <c r="N8" s="5">
        <v>300.0</v>
      </c>
      <c r="O8" s="5">
        <v>1120.0</v>
      </c>
      <c r="P8" s="6">
        <v>44723.0</v>
      </c>
      <c r="Q8" s="3" t="s">
        <v>31</v>
      </c>
      <c r="R8" s="3" t="s">
        <v>29</v>
      </c>
      <c r="S8" s="5">
        <v>40533.0</v>
      </c>
      <c r="T8" s="3"/>
      <c r="U8" s="3"/>
      <c r="V8" s="3"/>
      <c r="W8" s="3"/>
      <c r="X8" s="3"/>
    </row>
    <row r="9">
      <c r="A9" s="3" t="s">
        <v>42</v>
      </c>
      <c r="B9" s="3" t="s">
        <v>43</v>
      </c>
      <c r="C9" s="3" t="s">
        <v>21</v>
      </c>
      <c r="D9" s="3" t="s">
        <v>22</v>
      </c>
      <c r="E9" s="4" t="s">
        <v>23</v>
      </c>
      <c r="F9" s="3" t="s">
        <v>28</v>
      </c>
      <c r="G9" s="3" t="s">
        <v>29</v>
      </c>
      <c r="H9" s="3" t="s">
        <v>30</v>
      </c>
      <c r="I9" s="3" t="s">
        <v>25</v>
      </c>
      <c r="J9" s="3" t="s">
        <v>30</v>
      </c>
      <c r="K9" s="3" t="s">
        <v>25</v>
      </c>
      <c r="L9" s="5">
        <v>505.0</v>
      </c>
      <c r="M9" s="5">
        <v>302.0</v>
      </c>
      <c r="N9" s="5">
        <v>300.0</v>
      </c>
      <c r="O9" s="5">
        <v>1107.0</v>
      </c>
      <c r="P9" s="6">
        <v>44669.0</v>
      </c>
      <c r="Q9" s="3" t="s">
        <v>31</v>
      </c>
      <c r="R9" s="3" t="s">
        <v>29</v>
      </c>
      <c r="S9" s="5">
        <v>1133421.0</v>
      </c>
      <c r="T9" s="3"/>
      <c r="U9" s="3"/>
      <c r="V9" s="3"/>
      <c r="W9" s="3"/>
      <c r="X9" s="3"/>
    </row>
    <row r="10">
      <c r="A10" s="3" t="s">
        <v>44</v>
      </c>
      <c r="B10" s="3" t="s">
        <v>45</v>
      </c>
      <c r="C10" s="3" t="s">
        <v>21</v>
      </c>
      <c r="D10" s="3" t="s">
        <v>22</v>
      </c>
      <c r="E10" s="4" t="s">
        <v>23</v>
      </c>
      <c r="F10" s="3" t="s">
        <v>28</v>
      </c>
      <c r="G10" s="3" t="s">
        <v>29</v>
      </c>
      <c r="H10" s="3" t="s">
        <v>30</v>
      </c>
      <c r="I10" s="3" t="s">
        <v>25</v>
      </c>
      <c r="J10" s="3" t="s">
        <v>30</v>
      </c>
      <c r="K10" s="3" t="s">
        <v>25</v>
      </c>
      <c r="L10" s="5">
        <v>500.0</v>
      </c>
      <c r="M10" s="5">
        <v>300.0</v>
      </c>
      <c r="N10" s="5">
        <v>300.0</v>
      </c>
      <c r="O10" s="5">
        <v>1100.0</v>
      </c>
      <c r="P10" s="6">
        <v>44670.0</v>
      </c>
      <c r="Q10" s="3" t="s">
        <v>31</v>
      </c>
      <c r="R10" s="3" t="s">
        <v>29</v>
      </c>
      <c r="S10" s="5">
        <v>1260221.0</v>
      </c>
      <c r="T10" s="3"/>
      <c r="U10" s="3"/>
      <c r="V10" s="3"/>
      <c r="W10" s="3"/>
      <c r="X10" s="3"/>
    </row>
    <row r="11">
      <c r="A11" s="3" t="s">
        <v>46</v>
      </c>
      <c r="B11" s="3" t="s">
        <v>47</v>
      </c>
      <c r="C11" s="3" t="s">
        <v>21</v>
      </c>
      <c r="D11" s="3" t="s">
        <v>22</v>
      </c>
      <c r="E11" s="4" t="s">
        <v>23</v>
      </c>
      <c r="F11" s="3" t="s">
        <v>28</v>
      </c>
      <c r="G11" s="3" t="s">
        <v>29</v>
      </c>
      <c r="H11" s="3" t="s">
        <v>30</v>
      </c>
      <c r="I11" s="3" t="s">
        <v>25</v>
      </c>
      <c r="J11" s="3" t="s">
        <v>24</v>
      </c>
      <c r="K11" s="3" t="s">
        <v>25</v>
      </c>
      <c r="L11" s="5">
        <v>500.0</v>
      </c>
      <c r="M11" s="5">
        <v>300.0</v>
      </c>
      <c r="N11" s="5">
        <v>200.0</v>
      </c>
      <c r="O11" s="5">
        <v>1000.0</v>
      </c>
      <c r="P11" s="6">
        <v>44821.0</v>
      </c>
      <c r="Q11" s="3" t="s">
        <v>31</v>
      </c>
      <c r="R11" s="3" t="s">
        <v>29</v>
      </c>
      <c r="S11" s="5">
        <v>217346.0</v>
      </c>
      <c r="T11" s="3"/>
      <c r="U11" s="3"/>
      <c r="V11" s="3"/>
      <c r="W11" s="3"/>
      <c r="X11" s="3"/>
    </row>
    <row r="12">
      <c r="A12" s="3" t="s">
        <v>48</v>
      </c>
      <c r="B12" s="3" t="s">
        <v>49</v>
      </c>
      <c r="C12" s="3" t="s">
        <v>21</v>
      </c>
      <c r="D12" s="3" t="s">
        <v>22</v>
      </c>
      <c r="E12" s="4" t="s">
        <v>23</v>
      </c>
      <c r="F12" s="3" t="s">
        <v>24</v>
      </c>
      <c r="G12" s="3" t="s">
        <v>25</v>
      </c>
      <c r="H12" s="3" t="s">
        <v>24</v>
      </c>
      <c r="I12" s="3" t="s">
        <v>25</v>
      </c>
      <c r="J12" s="3" t="s">
        <v>24</v>
      </c>
      <c r="K12" s="3" t="s">
        <v>25</v>
      </c>
      <c r="L12" s="5">
        <v>220.0</v>
      </c>
      <c r="M12" s="5">
        <v>224.0</v>
      </c>
      <c r="N12" s="5">
        <v>235.0</v>
      </c>
      <c r="O12" s="5">
        <v>679.0</v>
      </c>
      <c r="P12" s="6">
        <v>44825.0</v>
      </c>
      <c r="Q12" s="3" t="s">
        <v>24</v>
      </c>
      <c r="R12" s="3" t="s">
        <v>25</v>
      </c>
      <c r="S12" s="5">
        <v>12927.0</v>
      </c>
      <c r="T12" s="3"/>
      <c r="U12" s="3"/>
      <c r="V12" s="3"/>
      <c r="W12" s="3"/>
      <c r="X12" s="3"/>
    </row>
    <row r="13">
      <c r="A13" s="3" t="s">
        <v>50</v>
      </c>
      <c r="B13" s="3" t="s">
        <v>51</v>
      </c>
      <c r="C13" s="3" t="s">
        <v>21</v>
      </c>
      <c r="D13" s="3" t="s">
        <v>22</v>
      </c>
      <c r="E13" s="3" t="s">
        <v>52</v>
      </c>
      <c r="F13" s="3" t="s">
        <v>28</v>
      </c>
      <c r="G13" s="3" t="s">
        <v>29</v>
      </c>
      <c r="H13" s="3" t="s">
        <v>30</v>
      </c>
      <c r="I13" s="3" t="s">
        <v>25</v>
      </c>
      <c r="J13" s="3" t="s">
        <v>30</v>
      </c>
      <c r="K13" s="3" t="s">
        <v>25</v>
      </c>
      <c r="L13" s="5">
        <v>515.0</v>
      </c>
      <c r="M13" s="5">
        <v>300.0</v>
      </c>
      <c r="N13" s="5">
        <v>313.0</v>
      </c>
      <c r="O13" s="5">
        <v>1128.0</v>
      </c>
      <c r="P13" s="6">
        <v>44668.0</v>
      </c>
      <c r="Q13" s="3" t="s">
        <v>31</v>
      </c>
      <c r="R13" s="3" t="s">
        <v>29</v>
      </c>
      <c r="S13" s="5">
        <v>27904.0</v>
      </c>
      <c r="T13" s="3"/>
      <c r="U13" s="3"/>
      <c r="V13" s="3"/>
      <c r="W13" s="3"/>
      <c r="X13" s="3"/>
    </row>
    <row r="14">
      <c r="A14" s="3" t="s">
        <v>53</v>
      </c>
      <c r="B14" s="3" t="s">
        <v>54</v>
      </c>
      <c r="C14" s="3" t="s">
        <v>21</v>
      </c>
      <c r="D14" s="3" t="s">
        <v>22</v>
      </c>
      <c r="E14" s="3" t="s">
        <v>52</v>
      </c>
      <c r="F14" s="3" t="s">
        <v>28</v>
      </c>
      <c r="G14" s="3" t="s">
        <v>29</v>
      </c>
      <c r="H14" s="3" t="s">
        <v>30</v>
      </c>
      <c r="I14" s="3" t="s">
        <v>25</v>
      </c>
      <c r="J14" s="3" t="s">
        <v>24</v>
      </c>
      <c r="K14" s="3" t="s">
        <v>25</v>
      </c>
      <c r="L14" s="5">
        <v>515.0</v>
      </c>
      <c r="M14" s="5">
        <v>303.0</v>
      </c>
      <c r="N14" s="5">
        <v>259.0</v>
      </c>
      <c r="O14" s="5">
        <v>1077.0</v>
      </c>
      <c r="P14" s="6">
        <v>44667.0</v>
      </c>
      <c r="Q14" s="3" t="s">
        <v>31</v>
      </c>
      <c r="R14" s="3" t="s">
        <v>29</v>
      </c>
      <c r="S14" s="5">
        <v>766421.0</v>
      </c>
      <c r="T14" s="3"/>
      <c r="U14" s="3"/>
      <c r="V14" s="3"/>
      <c r="W14" s="3"/>
      <c r="X14" s="3"/>
    </row>
    <row r="15">
      <c r="A15" s="3" t="s">
        <v>55</v>
      </c>
      <c r="B15" s="3" t="s">
        <v>56</v>
      </c>
      <c r="C15" s="3" t="s">
        <v>21</v>
      </c>
      <c r="D15" s="3" t="s">
        <v>22</v>
      </c>
      <c r="E15" s="3" t="s">
        <v>52</v>
      </c>
      <c r="F15" s="3" t="s">
        <v>24</v>
      </c>
      <c r="G15" s="3" t="s">
        <v>25</v>
      </c>
      <c r="H15" s="3" t="s">
        <v>30</v>
      </c>
      <c r="I15" s="3" t="s">
        <v>25</v>
      </c>
      <c r="J15" s="3" t="s">
        <v>24</v>
      </c>
      <c r="K15" s="3" t="s">
        <v>25</v>
      </c>
      <c r="L15" s="5">
        <v>295.0</v>
      </c>
      <c r="M15" s="5">
        <v>314.0</v>
      </c>
      <c r="N15" s="5">
        <v>218.0</v>
      </c>
      <c r="O15" s="5">
        <v>827.0</v>
      </c>
      <c r="P15" s="6">
        <v>44670.0</v>
      </c>
      <c r="Q15" s="3" t="s">
        <v>30</v>
      </c>
      <c r="R15" s="3" t="s">
        <v>25</v>
      </c>
      <c r="S15" s="5">
        <v>92380.0</v>
      </c>
      <c r="T15" s="3"/>
      <c r="U15" s="3"/>
      <c r="V15" s="3"/>
      <c r="W15" s="3"/>
      <c r="X15" s="3"/>
    </row>
    <row r="16">
      <c r="A16" s="3" t="s">
        <v>57</v>
      </c>
      <c r="B16" s="3" t="s">
        <v>58</v>
      </c>
      <c r="C16" s="3" t="s">
        <v>21</v>
      </c>
      <c r="D16" s="3" t="s">
        <v>59</v>
      </c>
      <c r="E16" s="3" t="s">
        <v>52</v>
      </c>
      <c r="F16" s="3" t="s">
        <v>24</v>
      </c>
      <c r="G16" s="3" t="s">
        <v>25</v>
      </c>
      <c r="H16" s="3" t="s">
        <v>24</v>
      </c>
      <c r="I16" s="3" t="s">
        <v>25</v>
      </c>
      <c r="J16" s="3" t="s">
        <v>24</v>
      </c>
      <c r="K16" s="3" t="s">
        <v>25</v>
      </c>
      <c r="L16" s="5">
        <v>270.0</v>
      </c>
      <c r="M16" s="5">
        <v>211.0</v>
      </c>
      <c r="N16" s="5">
        <v>265.0</v>
      </c>
      <c r="O16" s="5">
        <v>746.0</v>
      </c>
      <c r="P16" s="6">
        <v>44667.0</v>
      </c>
      <c r="Q16" s="3" t="s">
        <v>24</v>
      </c>
      <c r="R16" s="3" t="s">
        <v>25</v>
      </c>
      <c r="S16" s="5">
        <v>6201.0</v>
      </c>
      <c r="T16" s="3"/>
      <c r="U16" s="3"/>
      <c r="V16" s="3"/>
      <c r="W16" s="3"/>
      <c r="X16" s="3"/>
    </row>
    <row r="17">
      <c r="A17" s="3" t="s">
        <v>60</v>
      </c>
      <c r="B17" s="3" t="s">
        <v>61</v>
      </c>
      <c r="C17" s="3" t="s">
        <v>21</v>
      </c>
      <c r="D17" s="3" t="s">
        <v>59</v>
      </c>
      <c r="E17" s="3" t="s">
        <v>52</v>
      </c>
      <c r="F17" s="3" t="s">
        <v>24</v>
      </c>
      <c r="G17" s="3" t="s">
        <v>25</v>
      </c>
      <c r="H17" s="3" t="s">
        <v>24</v>
      </c>
      <c r="I17" s="3" t="s">
        <v>25</v>
      </c>
      <c r="J17" s="3" t="s">
        <v>24</v>
      </c>
      <c r="K17" s="3" t="s">
        <v>25</v>
      </c>
      <c r="L17" s="5">
        <v>287.0</v>
      </c>
      <c r="M17" s="5">
        <v>208.0</v>
      </c>
      <c r="N17" s="5">
        <v>248.0</v>
      </c>
      <c r="O17" s="5">
        <v>743.0</v>
      </c>
      <c r="P17" s="6">
        <v>44667.0</v>
      </c>
      <c r="Q17" s="3" t="s">
        <v>24</v>
      </c>
      <c r="R17" s="3" t="s">
        <v>25</v>
      </c>
      <c r="S17" s="5">
        <v>1362468.0</v>
      </c>
      <c r="T17" s="3"/>
      <c r="U17" s="3"/>
      <c r="V17" s="3"/>
      <c r="W17" s="3"/>
      <c r="X17" s="3"/>
    </row>
    <row r="18">
      <c r="A18" s="3" t="s">
        <v>62</v>
      </c>
      <c r="B18" s="3" t="s">
        <v>63</v>
      </c>
      <c r="C18" s="3" t="s">
        <v>21</v>
      </c>
      <c r="D18" s="3" t="s">
        <v>59</v>
      </c>
      <c r="E18" s="3" t="s">
        <v>52</v>
      </c>
      <c r="F18" s="3" t="s">
        <v>24</v>
      </c>
      <c r="G18" s="3" t="s">
        <v>25</v>
      </c>
      <c r="H18" s="3" t="s">
        <v>30</v>
      </c>
      <c r="I18" s="3" t="s">
        <v>25</v>
      </c>
      <c r="J18" s="3" t="s">
        <v>24</v>
      </c>
      <c r="K18" s="3" t="s">
        <v>25</v>
      </c>
      <c r="L18" s="5">
        <v>200.0</v>
      </c>
      <c r="M18" s="5">
        <v>321.0</v>
      </c>
      <c r="N18" s="5">
        <v>200.0</v>
      </c>
      <c r="O18" s="5">
        <v>721.0</v>
      </c>
      <c r="P18" s="6">
        <v>44668.0</v>
      </c>
      <c r="Q18" s="3" t="s">
        <v>24</v>
      </c>
      <c r="R18" s="3" t="s">
        <v>25</v>
      </c>
      <c r="S18" s="5">
        <v>1172222.0</v>
      </c>
      <c r="T18" s="3"/>
      <c r="U18" s="3"/>
      <c r="V18" s="3"/>
      <c r="W18" s="3"/>
      <c r="X18" s="3"/>
    </row>
    <row r="19">
      <c r="A19" s="3" t="s">
        <v>64</v>
      </c>
      <c r="B19" s="3" t="s">
        <v>65</v>
      </c>
      <c r="C19" s="3" t="s">
        <v>21</v>
      </c>
      <c r="D19" s="3" t="s">
        <v>59</v>
      </c>
      <c r="E19" s="3" t="s">
        <v>52</v>
      </c>
      <c r="F19" s="3" t="s">
        <v>24</v>
      </c>
      <c r="G19" s="3" t="s">
        <v>25</v>
      </c>
      <c r="H19" s="3" t="s">
        <v>24</v>
      </c>
      <c r="I19" s="3" t="s">
        <v>25</v>
      </c>
      <c r="J19" s="3" t="s">
        <v>24</v>
      </c>
      <c r="K19" s="3" t="s">
        <v>25</v>
      </c>
      <c r="L19" s="5">
        <v>205.0</v>
      </c>
      <c r="M19" s="5">
        <v>203.0</v>
      </c>
      <c r="N19" s="5">
        <v>221.0</v>
      </c>
      <c r="O19" s="5">
        <v>629.0</v>
      </c>
      <c r="P19" s="6">
        <v>44670.0</v>
      </c>
      <c r="Q19" s="3" t="s">
        <v>24</v>
      </c>
      <c r="R19" s="3" t="s">
        <v>25</v>
      </c>
      <c r="S19" s="5">
        <v>100517.0</v>
      </c>
      <c r="T19" s="3"/>
      <c r="U19" s="3"/>
      <c r="V19" s="3"/>
      <c r="W19" s="3"/>
      <c r="X19" s="3"/>
    </row>
    <row r="20">
      <c r="A20" s="3" t="s">
        <v>66</v>
      </c>
      <c r="B20" s="3" t="s">
        <v>67</v>
      </c>
      <c r="C20" s="3" t="s">
        <v>21</v>
      </c>
      <c r="D20" s="3" t="s">
        <v>22</v>
      </c>
      <c r="E20" s="3" t="s">
        <v>68</v>
      </c>
      <c r="F20" s="3" t="s">
        <v>28</v>
      </c>
      <c r="G20" s="3" t="s">
        <v>29</v>
      </c>
      <c r="H20" s="3" t="s">
        <v>30</v>
      </c>
      <c r="I20" s="3" t="s">
        <v>25</v>
      </c>
      <c r="J20" s="3" t="s">
        <v>30</v>
      </c>
      <c r="K20" s="3" t="s">
        <v>25</v>
      </c>
      <c r="L20" s="5">
        <v>555.0</v>
      </c>
      <c r="M20" s="5">
        <v>339.0</v>
      </c>
      <c r="N20" s="5">
        <v>310.0</v>
      </c>
      <c r="O20" s="5">
        <v>1204.0</v>
      </c>
      <c r="P20" s="6">
        <v>44722.0</v>
      </c>
      <c r="Q20" s="3" t="s">
        <v>28</v>
      </c>
      <c r="R20" s="3" t="s">
        <v>29</v>
      </c>
      <c r="S20" s="5">
        <v>1521332.0</v>
      </c>
      <c r="T20" s="3"/>
      <c r="U20" s="3"/>
      <c r="V20" s="3"/>
      <c r="W20" s="3"/>
      <c r="X20" s="3"/>
    </row>
    <row r="21">
      <c r="A21" s="3" t="s">
        <v>69</v>
      </c>
      <c r="B21" s="3" t="s">
        <v>70</v>
      </c>
      <c r="C21" s="3" t="s">
        <v>21</v>
      </c>
      <c r="D21" s="3" t="s">
        <v>22</v>
      </c>
      <c r="E21" s="3" t="s">
        <v>68</v>
      </c>
      <c r="F21" s="3" t="s">
        <v>24</v>
      </c>
      <c r="G21" s="3" t="s">
        <v>25</v>
      </c>
      <c r="H21" s="3" t="s">
        <v>24</v>
      </c>
      <c r="I21" s="3" t="s">
        <v>25</v>
      </c>
      <c r="J21" s="3" t="s">
        <v>24</v>
      </c>
      <c r="K21" s="3" t="s">
        <v>25</v>
      </c>
      <c r="L21" s="5">
        <v>260.0</v>
      </c>
      <c r="M21" s="5">
        <v>206.0</v>
      </c>
      <c r="N21" s="5">
        <v>230.0</v>
      </c>
      <c r="O21" s="5">
        <v>696.0</v>
      </c>
      <c r="P21" s="6">
        <v>44667.0</v>
      </c>
      <c r="Q21" s="3" t="s">
        <v>24</v>
      </c>
      <c r="R21" s="3" t="s">
        <v>25</v>
      </c>
      <c r="S21" s="5">
        <v>908255.0</v>
      </c>
      <c r="T21" s="3"/>
      <c r="U21" s="3"/>
      <c r="V21" s="3"/>
      <c r="W21" s="3"/>
      <c r="X21" s="3"/>
    </row>
    <row r="22">
      <c r="A22" s="3" t="s">
        <v>71</v>
      </c>
      <c r="B22" s="3" t="s">
        <v>72</v>
      </c>
      <c r="C22" s="3" t="s">
        <v>21</v>
      </c>
      <c r="D22" s="3" t="s">
        <v>22</v>
      </c>
      <c r="E22" s="3" t="s">
        <v>68</v>
      </c>
      <c r="F22" s="3" t="s">
        <v>24</v>
      </c>
      <c r="G22" s="3" t="s">
        <v>25</v>
      </c>
      <c r="H22" s="3" t="s">
        <v>24</v>
      </c>
      <c r="I22" s="3" t="s">
        <v>25</v>
      </c>
      <c r="J22" s="3" t="s">
        <v>24</v>
      </c>
      <c r="K22" s="3" t="s">
        <v>25</v>
      </c>
      <c r="L22" s="5">
        <v>200.0</v>
      </c>
      <c r="M22" s="5">
        <v>200.0</v>
      </c>
      <c r="N22" s="5">
        <v>200.0</v>
      </c>
      <c r="O22" s="5">
        <v>600.0</v>
      </c>
      <c r="P22" s="6">
        <v>44673.0</v>
      </c>
      <c r="Q22" s="3" t="s">
        <v>24</v>
      </c>
      <c r="R22" s="3" t="s">
        <v>25</v>
      </c>
      <c r="S22" s="5">
        <v>1772720.0</v>
      </c>
      <c r="T22" s="3"/>
      <c r="U22" s="3"/>
      <c r="V22" s="3"/>
      <c r="W22" s="3"/>
      <c r="X22" s="3"/>
    </row>
    <row r="23">
      <c r="A23" s="3" t="s">
        <v>73</v>
      </c>
      <c r="B23" s="3" t="s">
        <v>74</v>
      </c>
      <c r="C23" s="3" t="s">
        <v>21</v>
      </c>
      <c r="D23" s="3" t="s">
        <v>22</v>
      </c>
      <c r="E23" s="3" t="s">
        <v>75</v>
      </c>
      <c r="F23" s="3" t="s">
        <v>28</v>
      </c>
      <c r="G23" s="3" t="s">
        <v>29</v>
      </c>
      <c r="H23" s="3" t="s">
        <v>30</v>
      </c>
      <c r="I23" s="3" t="s">
        <v>25</v>
      </c>
      <c r="J23" s="3" t="s">
        <v>24</v>
      </c>
      <c r="K23" s="3" t="s">
        <v>25</v>
      </c>
      <c r="L23" s="5">
        <v>510.0</v>
      </c>
      <c r="M23" s="5">
        <v>303.0</v>
      </c>
      <c r="N23" s="5">
        <v>255.0</v>
      </c>
      <c r="O23" s="5">
        <v>1068.0</v>
      </c>
      <c r="P23" s="6">
        <v>44668.0</v>
      </c>
      <c r="Q23" s="3" t="s">
        <v>31</v>
      </c>
      <c r="R23" s="3" t="s">
        <v>29</v>
      </c>
      <c r="S23" s="5">
        <v>1467858.0</v>
      </c>
      <c r="T23" s="3"/>
      <c r="U23" s="3"/>
      <c r="V23" s="3"/>
      <c r="W23" s="3"/>
      <c r="X23" s="3"/>
    </row>
    <row r="24">
      <c r="A24" s="3" t="s">
        <v>76</v>
      </c>
      <c r="B24" s="3" t="s">
        <v>77</v>
      </c>
      <c r="C24" s="3" t="s">
        <v>21</v>
      </c>
      <c r="D24" s="3" t="s">
        <v>59</v>
      </c>
      <c r="E24" s="3" t="s">
        <v>75</v>
      </c>
      <c r="F24" s="3" t="s">
        <v>28</v>
      </c>
      <c r="G24" s="3" t="s">
        <v>29</v>
      </c>
      <c r="H24" s="3" t="s">
        <v>78</v>
      </c>
      <c r="I24" s="3" t="s">
        <v>79</v>
      </c>
      <c r="J24" s="3" t="s">
        <v>24</v>
      </c>
      <c r="K24" s="3" t="s">
        <v>25</v>
      </c>
      <c r="L24" s="5">
        <v>555.0</v>
      </c>
      <c r="M24" s="5">
        <v>160.0</v>
      </c>
      <c r="N24" s="5">
        <v>278.0</v>
      </c>
      <c r="O24" s="5">
        <v>993.0</v>
      </c>
      <c r="P24" s="6">
        <v>44670.0</v>
      </c>
      <c r="Q24" s="3" t="s">
        <v>31</v>
      </c>
      <c r="R24" s="3" t="s">
        <v>29</v>
      </c>
      <c r="S24" s="5">
        <v>1318605.0</v>
      </c>
      <c r="T24" s="3"/>
      <c r="U24" s="3"/>
      <c r="V24" s="3"/>
      <c r="W24" s="3"/>
      <c r="X24" s="3"/>
    </row>
    <row r="25">
      <c r="A25" s="3" t="s">
        <v>80</v>
      </c>
      <c r="B25" s="3" t="s">
        <v>81</v>
      </c>
      <c r="C25" s="3" t="s">
        <v>21</v>
      </c>
      <c r="D25" s="3" t="s">
        <v>22</v>
      </c>
      <c r="E25" s="3" t="s">
        <v>75</v>
      </c>
      <c r="F25" s="3" t="s">
        <v>24</v>
      </c>
      <c r="G25" s="3" t="s">
        <v>25</v>
      </c>
      <c r="H25" s="3" t="s">
        <v>24</v>
      </c>
      <c r="I25" s="3" t="s">
        <v>25</v>
      </c>
      <c r="J25" s="3" t="s">
        <v>24</v>
      </c>
      <c r="K25" s="3" t="s">
        <v>25</v>
      </c>
      <c r="L25" s="5">
        <v>292.0</v>
      </c>
      <c r="M25" s="5">
        <v>246.0</v>
      </c>
      <c r="N25" s="5">
        <v>215.0</v>
      </c>
      <c r="O25" s="5">
        <v>753.0</v>
      </c>
      <c r="P25" s="6">
        <v>44668.0</v>
      </c>
      <c r="Q25" s="3" t="s">
        <v>30</v>
      </c>
      <c r="R25" s="3" t="s">
        <v>25</v>
      </c>
      <c r="S25" s="5">
        <v>37996.0</v>
      </c>
      <c r="T25" s="3"/>
      <c r="U25" s="3"/>
      <c r="V25" s="3"/>
      <c r="W25" s="3"/>
      <c r="X25" s="3"/>
    </row>
    <row r="26">
      <c r="A26" s="3" t="s">
        <v>82</v>
      </c>
      <c r="B26" s="3" t="s">
        <v>83</v>
      </c>
      <c r="C26" s="3" t="s">
        <v>84</v>
      </c>
      <c r="D26" s="3" t="s">
        <v>22</v>
      </c>
      <c r="E26" s="3" t="s">
        <v>75</v>
      </c>
      <c r="F26" s="3" t="s">
        <v>24</v>
      </c>
      <c r="G26" s="3" t="s">
        <v>25</v>
      </c>
      <c r="H26" s="3" t="s">
        <v>24</v>
      </c>
      <c r="I26" s="3" t="s">
        <v>25</v>
      </c>
      <c r="J26" s="3" t="s">
        <v>24</v>
      </c>
      <c r="K26" s="3" t="s">
        <v>25</v>
      </c>
      <c r="L26" s="5">
        <v>215.0</v>
      </c>
      <c r="M26" s="5">
        <v>208.0</v>
      </c>
      <c r="N26" s="5">
        <v>200.0</v>
      </c>
      <c r="O26" s="5">
        <v>623.0</v>
      </c>
      <c r="P26" s="6">
        <v>44723.0</v>
      </c>
      <c r="Q26" s="3" t="s">
        <v>24</v>
      </c>
      <c r="R26" s="3" t="s">
        <v>25</v>
      </c>
      <c r="S26" s="5">
        <v>1810997.0</v>
      </c>
      <c r="T26" s="3"/>
      <c r="U26" s="3"/>
      <c r="V26" s="3"/>
      <c r="W26" s="3"/>
      <c r="X26" s="3"/>
    </row>
    <row r="27">
      <c r="A27" s="3" t="s">
        <v>85</v>
      </c>
      <c r="B27" s="3" t="s">
        <v>86</v>
      </c>
      <c r="C27" s="3" t="s">
        <v>21</v>
      </c>
      <c r="D27" s="3" t="s">
        <v>59</v>
      </c>
      <c r="E27" s="3" t="s">
        <v>87</v>
      </c>
      <c r="F27" s="3" t="s">
        <v>28</v>
      </c>
      <c r="G27" s="3" t="s">
        <v>29</v>
      </c>
      <c r="H27" s="3" t="s">
        <v>30</v>
      </c>
      <c r="I27" s="3" t="s">
        <v>25</v>
      </c>
      <c r="J27" s="3" t="s">
        <v>30</v>
      </c>
      <c r="K27" s="3" t="s">
        <v>25</v>
      </c>
      <c r="L27" s="5">
        <v>565.0</v>
      </c>
      <c r="M27" s="5">
        <v>328.0</v>
      </c>
      <c r="N27" s="5">
        <v>315.0</v>
      </c>
      <c r="O27" s="5">
        <v>1208.0</v>
      </c>
      <c r="P27" s="6">
        <v>44873.0</v>
      </c>
      <c r="Q27" s="3" t="s">
        <v>28</v>
      </c>
      <c r="R27" s="3" t="s">
        <v>29</v>
      </c>
      <c r="S27" s="5">
        <v>1028918.0</v>
      </c>
      <c r="T27" s="3"/>
      <c r="U27" s="3"/>
      <c r="V27" s="3"/>
      <c r="W27" s="3"/>
      <c r="X27" s="3"/>
    </row>
    <row r="28">
      <c r="A28" s="3" t="s">
        <v>88</v>
      </c>
      <c r="B28" s="3" t="s">
        <v>89</v>
      </c>
      <c r="C28" s="3" t="s">
        <v>21</v>
      </c>
      <c r="D28" s="3" t="s">
        <v>22</v>
      </c>
      <c r="E28" s="3" t="s">
        <v>87</v>
      </c>
      <c r="F28" s="3" t="s">
        <v>28</v>
      </c>
      <c r="G28" s="3" t="s">
        <v>29</v>
      </c>
      <c r="H28" s="3" t="s">
        <v>30</v>
      </c>
      <c r="I28" s="3" t="s">
        <v>25</v>
      </c>
      <c r="J28" s="3" t="s">
        <v>30</v>
      </c>
      <c r="K28" s="3" t="s">
        <v>25</v>
      </c>
      <c r="L28" s="5">
        <v>505.0</v>
      </c>
      <c r="M28" s="5">
        <v>319.0</v>
      </c>
      <c r="N28" s="5">
        <v>338.0</v>
      </c>
      <c r="O28" s="5">
        <v>1162.0</v>
      </c>
      <c r="P28" s="6">
        <v>44669.0</v>
      </c>
      <c r="Q28" s="3" t="s">
        <v>31</v>
      </c>
      <c r="R28" s="3" t="s">
        <v>29</v>
      </c>
      <c r="S28" s="5">
        <v>19617.0</v>
      </c>
      <c r="T28" s="3"/>
      <c r="U28" s="3"/>
      <c r="V28" s="3"/>
      <c r="W28" s="3"/>
      <c r="X28" s="3"/>
    </row>
    <row r="29">
      <c r="A29" s="3" t="s">
        <v>90</v>
      </c>
      <c r="B29" s="3" t="s">
        <v>91</v>
      </c>
      <c r="C29" s="3" t="s">
        <v>21</v>
      </c>
      <c r="D29" s="3" t="s">
        <v>59</v>
      </c>
      <c r="E29" s="3" t="s">
        <v>87</v>
      </c>
      <c r="F29" s="3" t="s">
        <v>28</v>
      </c>
      <c r="G29" s="3" t="s">
        <v>29</v>
      </c>
      <c r="H29" s="3" t="s">
        <v>30</v>
      </c>
      <c r="I29" s="3" t="s">
        <v>25</v>
      </c>
      <c r="J29" s="3" t="s">
        <v>30</v>
      </c>
      <c r="K29" s="3" t="s">
        <v>25</v>
      </c>
      <c r="L29" s="5">
        <v>510.0</v>
      </c>
      <c r="M29" s="5">
        <v>340.0</v>
      </c>
      <c r="N29" s="5">
        <v>300.0</v>
      </c>
      <c r="O29" s="5">
        <v>1150.0</v>
      </c>
      <c r="P29" s="6">
        <v>44670.0</v>
      </c>
      <c r="Q29" s="3" t="s">
        <v>31</v>
      </c>
      <c r="R29" s="3" t="s">
        <v>29</v>
      </c>
      <c r="S29" s="5">
        <v>719739.0</v>
      </c>
      <c r="T29" s="3"/>
      <c r="U29" s="3"/>
      <c r="V29" s="3"/>
      <c r="W29" s="3"/>
      <c r="X29" s="3"/>
    </row>
    <row r="30">
      <c r="A30" s="3" t="s">
        <v>92</v>
      </c>
      <c r="B30" s="3" t="s">
        <v>93</v>
      </c>
      <c r="C30" s="3" t="s">
        <v>21</v>
      </c>
      <c r="D30" s="3" t="s">
        <v>22</v>
      </c>
      <c r="E30" s="3" t="s">
        <v>87</v>
      </c>
      <c r="F30" s="3" t="s">
        <v>28</v>
      </c>
      <c r="G30" s="3" t="s">
        <v>29</v>
      </c>
      <c r="H30" s="3" t="s">
        <v>30</v>
      </c>
      <c r="I30" s="3" t="s">
        <v>25</v>
      </c>
      <c r="J30" s="3" t="s">
        <v>30</v>
      </c>
      <c r="K30" s="3" t="s">
        <v>25</v>
      </c>
      <c r="L30" s="5">
        <v>515.0</v>
      </c>
      <c r="M30" s="5">
        <v>300.0</v>
      </c>
      <c r="N30" s="5">
        <v>303.0</v>
      </c>
      <c r="O30" s="5">
        <v>1118.0</v>
      </c>
      <c r="P30" s="6">
        <v>44667.0</v>
      </c>
      <c r="Q30" s="3" t="s">
        <v>31</v>
      </c>
      <c r="R30" s="3" t="s">
        <v>29</v>
      </c>
      <c r="S30" s="5">
        <v>831001.0</v>
      </c>
      <c r="T30" s="3"/>
      <c r="U30" s="3"/>
      <c r="V30" s="3"/>
      <c r="W30" s="3"/>
      <c r="X30" s="3"/>
    </row>
    <row r="31">
      <c r="A31" s="3" t="s">
        <v>94</v>
      </c>
      <c r="B31" s="3" t="s">
        <v>95</v>
      </c>
      <c r="C31" s="3" t="s">
        <v>21</v>
      </c>
      <c r="D31" s="3" t="s">
        <v>22</v>
      </c>
      <c r="E31" s="3" t="s">
        <v>87</v>
      </c>
      <c r="F31" s="3" t="s">
        <v>28</v>
      </c>
      <c r="G31" s="3" t="s">
        <v>29</v>
      </c>
      <c r="H31" s="3" t="s">
        <v>30</v>
      </c>
      <c r="I31" s="3" t="s">
        <v>25</v>
      </c>
      <c r="J31" s="3" t="s">
        <v>30</v>
      </c>
      <c r="K31" s="3" t="s">
        <v>25</v>
      </c>
      <c r="L31" s="5">
        <v>500.0</v>
      </c>
      <c r="M31" s="5">
        <v>300.0</v>
      </c>
      <c r="N31" s="5">
        <v>300.0</v>
      </c>
      <c r="O31" s="5">
        <v>1100.0</v>
      </c>
      <c r="P31" s="6">
        <v>44670.0</v>
      </c>
      <c r="Q31" s="3" t="s">
        <v>31</v>
      </c>
      <c r="R31" s="3" t="s">
        <v>29</v>
      </c>
      <c r="S31" s="5">
        <v>72971.0</v>
      </c>
      <c r="T31" s="3"/>
      <c r="U31" s="3"/>
      <c r="V31" s="3"/>
      <c r="W31" s="3"/>
      <c r="X31" s="3"/>
    </row>
    <row r="32">
      <c r="A32" s="3" t="s">
        <v>96</v>
      </c>
      <c r="B32" s="3" t="s">
        <v>97</v>
      </c>
      <c r="C32" s="3" t="s">
        <v>21</v>
      </c>
      <c r="D32" s="3" t="s">
        <v>22</v>
      </c>
      <c r="E32" s="3" t="s">
        <v>87</v>
      </c>
      <c r="F32" s="3" t="s">
        <v>31</v>
      </c>
      <c r="G32" s="3" t="s">
        <v>29</v>
      </c>
      <c r="H32" s="3" t="s">
        <v>30</v>
      </c>
      <c r="I32" s="3" t="s">
        <v>25</v>
      </c>
      <c r="J32" s="3" t="s">
        <v>30</v>
      </c>
      <c r="K32" s="3" t="s">
        <v>25</v>
      </c>
      <c r="L32" s="5">
        <v>490.0</v>
      </c>
      <c r="M32" s="5">
        <v>304.0</v>
      </c>
      <c r="N32" s="5">
        <v>305.0</v>
      </c>
      <c r="O32" s="5">
        <v>1099.0</v>
      </c>
      <c r="P32" s="6">
        <v>44668.0</v>
      </c>
      <c r="Q32" s="3" t="s">
        <v>31</v>
      </c>
      <c r="R32" s="3" t="s">
        <v>29</v>
      </c>
      <c r="S32" s="5">
        <v>1281761.0</v>
      </c>
      <c r="T32" s="3"/>
      <c r="U32" s="3"/>
      <c r="V32" s="3"/>
      <c r="W32" s="3"/>
      <c r="X32" s="3"/>
    </row>
    <row r="33">
      <c r="A33" s="3" t="s">
        <v>98</v>
      </c>
      <c r="B33" s="3" t="s">
        <v>99</v>
      </c>
      <c r="C33" s="3" t="s">
        <v>21</v>
      </c>
      <c r="D33" s="3" t="s">
        <v>22</v>
      </c>
      <c r="E33" s="3" t="s">
        <v>87</v>
      </c>
      <c r="F33" s="3" t="s">
        <v>31</v>
      </c>
      <c r="G33" s="3" t="s">
        <v>29</v>
      </c>
      <c r="H33" s="3" t="s">
        <v>30</v>
      </c>
      <c r="I33" s="3" t="s">
        <v>25</v>
      </c>
      <c r="J33" s="3" t="s">
        <v>30</v>
      </c>
      <c r="K33" s="3" t="s">
        <v>25</v>
      </c>
      <c r="L33" s="5">
        <v>480.0</v>
      </c>
      <c r="M33" s="5">
        <v>308.0</v>
      </c>
      <c r="N33" s="5">
        <v>300.0</v>
      </c>
      <c r="O33" s="5">
        <v>1088.0</v>
      </c>
      <c r="P33" s="6">
        <v>44723.0</v>
      </c>
      <c r="Q33" s="3" t="s">
        <v>31</v>
      </c>
      <c r="R33" s="3" t="s">
        <v>29</v>
      </c>
      <c r="S33" s="5">
        <v>92230.0</v>
      </c>
      <c r="T33" s="3"/>
      <c r="U33" s="3"/>
      <c r="V33" s="3"/>
      <c r="W33" s="3"/>
      <c r="X33" s="3"/>
    </row>
    <row r="34">
      <c r="A34" s="3" t="s">
        <v>100</v>
      </c>
      <c r="B34" s="3" t="s">
        <v>101</v>
      </c>
      <c r="C34" s="3" t="s">
        <v>21</v>
      </c>
      <c r="D34" s="3" t="s">
        <v>22</v>
      </c>
      <c r="E34" s="3" t="s">
        <v>87</v>
      </c>
      <c r="F34" s="3" t="s">
        <v>31</v>
      </c>
      <c r="G34" s="3" t="s">
        <v>29</v>
      </c>
      <c r="H34" s="3" t="s">
        <v>30</v>
      </c>
      <c r="I34" s="3" t="s">
        <v>25</v>
      </c>
      <c r="J34" s="3" t="s">
        <v>30</v>
      </c>
      <c r="K34" s="3" t="s">
        <v>25</v>
      </c>
      <c r="L34" s="5">
        <v>455.0</v>
      </c>
      <c r="M34" s="5">
        <v>323.0</v>
      </c>
      <c r="N34" s="5">
        <v>300.0</v>
      </c>
      <c r="O34" s="5">
        <v>1078.0</v>
      </c>
      <c r="P34" s="6">
        <v>44669.0</v>
      </c>
      <c r="Q34" s="3" t="s">
        <v>31</v>
      </c>
      <c r="R34" s="3" t="s">
        <v>29</v>
      </c>
      <c r="S34" s="5">
        <v>713676.0</v>
      </c>
      <c r="T34" s="3"/>
      <c r="U34" s="3"/>
      <c r="V34" s="3"/>
      <c r="W34" s="3"/>
      <c r="X34" s="3"/>
    </row>
    <row r="35">
      <c r="A35" s="3" t="s">
        <v>102</v>
      </c>
      <c r="B35" s="3" t="s">
        <v>103</v>
      </c>
      <c r="C35" s="3" t="s">
        <v>21</v>
      </c>
      <c r="D35" s="3" t="s">
        <v>22</v>
      </c>
      <c r="E35" s="3" t="s">
        <v>87</v>
      </c>
      <c r="F35" s="3" t="s">
        <v>28</v>
      </c>
      <c r="G35" s="3" t="s">
        <v>29</v>
      </c>
      <c r="H35" s="3" t="s">
        <v>30</v>
      </c>
      <c r="I35" s="3" t="s">
        <v>25</v>
      </c>
      <c r="J35" s="3" t="s">
        <v>24</v>
      </c>
      <c r="K35" s="3" t="s">
        <v>25</v>
      </c>
      <c r="L35" s="5">
        <v>500.0</v>
      </c>
      <c r="M35" s="5">
        <v>303.0</v>
      </c>
      <c r="N35" s="5">
        <v>260.0</v>
      </c>
      <c r="O35" s="5">
        <v>1063.0</v>
      </c>
      <c r="P35" s="6">
        <v>44669.0</v>
      </c>
      <c r="Q35" s="3" t="s">
        <v>31</v>
      </c>
      <c r="R35" s="3" t="s">
        <v>29</v>
      </c>
      <c r="S35" s="5">
        <v>36270.0</v>
      </c>
      <c r="T35" s="3"/>
      <c r="U35" s="3"/>
      <c r="V35" s="3"/>
      <c r="W35" s="3"/>
      <c r="X35" s="3"/>
    </row>
    <row r="36">
      <c r="A36" s="3" t="s">
        <v>104</v>
      </c>
      <c r="B36" s="3" t="s">
        <v>105</v>
      </c>
      <c r="C36" s="3" t="s">
        <v>21</v>
      </c>
      <c r="D36" s="3" t="s">
        <v>22</v>
      </c>
      <c r="E36" s="3" t="s">
        <v>87</v>
      </c>
      <c r="F36" s="3" t="s">
        <v>30</v>
      </c>
      <c r="G36" s="3" t="s">
        <v>25</v>
      </c>
      <c r="H36" s="3" t="s">
        <v>30</v>
      </c>
      <c r="I36" s="3" t="s">
        <v>25</v>
      </c>
      <c r="J36" s="3" t="s">
        <v>24</v>
      </c>
      <c r="K36" s="3" t="s">
        <v>25</v>
      </c>
      <c r="L36" s="5">
        <v>370.0</v>
      </c>
      <c r="M36" s="5">
        <v>331.0</v>
      </c>
      <c r="N36" s="5">
        <v>288.0</v>
      </c>
      <c r="O36" s="5">
        <v>989.0</v>
      </c>
      <c r="P36" s="6">
        <v>44668.0</v>
      </c>
      <c r="Q36" s="3" t="s">
        <v>31</v>
      </c>
      <c r="R36" s="3" t="s">
        <v>29</v>
      </c>
      <c r="S36" s="5">
        <v>1132979.0</v>
      </c>
      <c r="T36" s="3"/>
      <c r="U36" s="3"/>
      <c r="V36" s="3"/>
      <c r="W36" s="3"/>
      <c r="X36" s="3"/>
    </row>
    <row r="37">
      <c r="A37" s="3" t="s">
        <v>106</v>
      </c>
      <c r="B37" s="3" t="s">
        <v>107</v>
      </c>
      <c r="C37" s="3" t="s">
        <v>21</v>
      </c>
      <c r="D37" s="3" t="s">
        <v>59</v>
      </c>
      <c r="E37" s="3" t="s">
        <v>87</v>
      </c>
      <c r="F37" s="3" t="s">
        <v>30</v>
      </c>
      <c r="G37" s="3" t="s">
        <v>25</v>
      </c>
      <c r="H37" s="3" t="s">
        <v>30</v>
      </c>
      <c r="I37" s="3" t="s">
        <v>25</v>
      </c>
      <c r="J37" s="3" t="s">
        <v>30</v>
      </c>
      <c r="K37" s="3" t="s">
        <v>25</v>
      </c>
      <c r="L37" s="5">
        <v>331.0</v>
      </c>
      <c r="M37" s="5">
        <v>322.0</v>
      </c>
      <c r="N37" s="5">
        <v>305.0</v>
      </c>
      <c r="O37" s="5">
        <v>958.0</v>
      </c>
      <c r="P37" s="6">
        <v>44873.0</v>
      </c>
      <c r="Q37" s="3" t="s">
        <v>31</v>
      </c>
      <c r="R37" s="3" t="s">
        <v>29</v>
      </c>
      <c r="S37" s="5">
        <v>102212.0</v>
      </c>
      <c r="T37" s="3"/>
      <c r="U37" s="3"/>
      <c r="V37" s="3"/>
      <c r="W37" s="3"/>
      <c r="X37" s="3"/>
    </row>
    <row r="38">
      <c r="A38" s="3" t="s">
        <v>108</v>
      </c>
      <c r="B38" s="3" t="s">
        <v>109</v>
      </c>
      <c r="C38" s="3" t="s">
        <v>21</v>
      </c>
      <c r="D38" s="3" t="s">
        <v>22</v>
      </c>
      <c r="E38" s="3" t="s">
        <v>87</v>
      </c>
      <c r="F38" s="3" t="s">
        <v>30</v>
      </c>
      <c r="G38" s="3" t="s">
        <v>25</v>
      </c>
      <c r="H38" s="3" t="s">
        <v>30</v>
      </c>
      <c r="I38" s="3" t="s">
        <v>25</v>
      </c>
      <c r="J38" s="3" t="s">
        <v>30</v>
      </c>
      <c r="K38" s="3" t="s">
        <v>25</v>
      </c>
      <c r="L38" s="5">
        <v>336.0</v>
      </c>
      <c r="M38" s="5">
        <v>317.0</v>
      </c>
      <c r="N38" s="5">
        <v>300.0</v>
      </c>
      <c r="O38" s="5">
        <v>953.0</v>
      </c>
      <c r="P38" s="6">
        <v>44670.0</v>
      </c>
      <c r="Q38" s="3" t="s">
        <v>31</v>
      </c>
      <c r="R38" s="3" t="s">
        <v>29</v>
      </c>
      <c r="S38" s="5">
        <v>36104.0</v>
      </c>
      <c r="T38" s="3"/>
      <c r="U38" s="3"/>
      <c r="V38" s="3"/>
      <c r="W38" s="3"/>
      <c r="X38" s="3"/>
    </row>
    <row r="39">
      <c r="A39" s="3" t="s">
        <v>110</v>
      </c>
      <c r="B39" s="3" t="s">
        <v>111</v>
      </c>
      <c r="C39" s="3" t="s">
        <v>21</v>
      </c>
      <c r="D39" s="3" t="s">
        <v>59</v>
      </c>
      <c r="E39" s="3" t="s">
        <v>87</v>
      </c>
      <c r="F39" s="3" t="s">
        <v>30</v>
      </c>
      <c r="G39" s="3" t="s">
        <v>25</v>
      </c>
      <c r="H39" s="3" t="s">
        <v>30</v>
      </c>
      <c r="I39" s="3" t="s">
        <v>25</v>
      </c>
      <c r="J39" s="3" t="s">
        <v>30</v>
      </c>
      <c r="K39" s="3" t="s">
        <v>25</v>
      </c>
      <c r="L39" s="5">
        <v>308.0</v>
      </c>
      <c r="M39" s="5">
        <v>300.0</v>
      </c>
      <c r="N39" s="5">
        <v>300.0</v>
      </c>
      <c r="O39" s="5">
        <v>908.0</v>
      </c>
      <c r="P39" s="6">
        <v>44668.0</v>
      </c>
      <c r="Q39" s="3" t="s">
        <v>31</v>
      </c>
      <c r="R39" s="3" t="s">
        <v>29</v>
      </c>
      <c r="S39" s="5">
        <v>49196.0</v>
      </c>
      <c r="T39" s="3"/>
      <c r="U39" s="3"/>
      <c r="V39" s="3"/>
      <c r="W39" s="3"/>
      <c r="X39" s="3"/>
    </row>
    <row r="40">
      <c r="A40" s="3" t="s">
        <v>112</v>
      </c>
      <c r="B40" s="3" t="s">
        <v>113</v>
      </c>
      <c r="C40" s="3" t="s">
        <v>21</v>
      </c>
      <c r="D40" s="3" t="s">
        <v>59</v>
      </c>
      <c r="E40" s="3" t="s">
        <v>87</v>
      </c>
      <c r="F40" s="3" t="s">
        <v>24</v>
      </c>
      <c r="G40" s="3" t="s">
        <v>25</v>
      </c>
      <c r="H40" s="3" t="s">
        <v>30</v>
      </c>
      <c r="I40" s="3" t="s">
        <v>25</v>
      </c>
      <c r="J40" s="3" t="s">
        <v>30</v>
      </c>
      <c r="K40" s="3" t="s">
        <v>25</v>
      </c>
      <c r="L40" s="5">
        <v>298.0</v>
      </c>
      <c r="M40" s="5">
        <v>300.0</v>
      </c>
      <c r="N40" s="5">
        <v>300.0</v>
      </c>
      <c r="O40" s="5">
        <v>898.0</v>
      </c>
      <c r="P40" s="6">
        <v>44667.0</v>
      </c>
      <c r="Q40" s="3" t="s">
        <v>30</v>
      </c>
      <c r="R40" s="3" t="s">
        <v>25</v>
      </c>
      <c r="S40" s="5">
        <v>1642081.0</v>
      </c>
      <c r="T40" s="3"/>
      <c r="U40" s="3"/>
      <c r="V40" s="3"/>
      <c r="W40" s="3"/>
      <c r="X40" s="3"/>
    </row>
    <row r="41">
      <c r="A41" s="3" t="s">
        <v>114</v>
      </c>
      <c r="B41" s="3" t="s">
        <v>115</v>
      </c>
      <c r="C41" s="3" t="s">
        <v>21</v>
      </c>
      <c r="D41" s="3" t="s">
        <v>59</v>
      </c>
      <c r="E41" s="3" t="s">
        <v>87</v>
      </c>
      <c r="F41" s="3" t="s">
        <v>30</v>
      </c>
      <c r="G41" s="3" t="s">
        <v>25</v>
      </c>
      <c r="H41" s="3" t="s">
        <v>30</v>
      </c>
      <c r="I41" s="3" t="s">
        <v>25</v>
      </c>
      <c r="J41" s="3" t="s">
        <v>24</v>
      </c>
      <c r="K41" s="3" t="s">
        <v>25</v>
      </c>
      <c r="L41" s="5">
        <v>351.0</v>
      </c>
      <c r="M41" s="5">
        <v>300.0</v>
      </c>
      <c r="N41" s="5">
        <v>235.0</v>
      </c>
      <c r="O41" s="5">
        <v>886.0</v>
      </c>
      <c r="P41" s="6">
        <v>44722.0</v>
      </c>
      <c r="Q41" s="3" t="s">
        <v>30</v>
      </c>
      <c r="R41" s="3" t="s">
        <v>25</v>
      </c>
      <c r="S41" s="5">
        <v>1327607.0</v>
      </c>
      <c r="T41" s="3"/>
      <c r="U41" s="3"/>
      <c r="V41" s="3"/>
      <c r="W41" s="3"/>
      <c r="X41" s="3"/>
    </row>
    <row r="42">
      <c r="A42" s="3" t="s">
        <v>116</v>
      </c>
      <c r="B42" s="3" t="s">
        <v>117</v>
      </c>
      <c r="C42" s="3" t="s">
        <v>21</v>
      </c>
      <c r="D42" s="3" t="s">
        <v>22</v>
      </c>
      <c r="E42" s="3" t="s">
        <v>87</v>
      </c>
      <c r="F42" s="3" t="s">
        <v>24</v>
      </c>
      <c r="G42" s="3" t="s">
        <v>25</v>
      </c>
      <c r="H42" s="3" t="s">
        <v>30</v>
      </c>
      <c r="I42" s="3" t="s">
        <v>25</v>
      </c>
      <c r="J42" s="3" t="s">
        <v>24</v>
      </c>
      <c r="K42" s="3" t="s">
        <v>25</v>
      </c>
      <c r="L42" s="5">
        <v>220.0</v>
      </c>
      <c r="M42" s="5">
        <v>394.0</v>
      </c>
      <c r="N42" s="5">
        <v>265.0</v>
      </c>
      <c r="O42" s="5">
        <v>879.0</v>
      </c>
      <c r="P42" s="6">
        <v>44667.0</v>
      </c>
      <c r="Q42" s="3" t="s">
        <v>30</v>
      </c>
      <c r="R42" s="3" t="s">
        <v>25</v>
      </c>
      <c r="S42" s="5">
        <v>70858.0</v>
      </c>
      <c r="T42" s="3"/>
      <c r="U42" s="3"/>
      <c r="V42" s="3"/>
      <c r="W42" s="3"/>
      <c r="X42" s="3"/>
    </row>
    <row r="43">
      <c r="A43" s="3" t="s">
        <v>118</v>
      </c>
      <c r="B43" s="3" t="s">
        <v>119</v>
      </c>
      <c r="C43" s="3" t="s">
        <v>21</v>
      </c>
      <c r="D43" s="3" t="s">
        <v>59</v>
      </c>
      <c r="E43" s="3" t="s">
        <v>87</v>
      </c>
      <c r="F43" s="3" t="s">
        <v>24</v>
      </c>
      <c r="G43" s="3" t="s">
        <v>25</v>
      </c>
      <c r="H43" s="3" t="s">
        <v>30</v>
      </c>
      <c r="I43" s="3" t="s">
        <v>25</v>
      </c>
      <c r="J43" s="3" t="s">
        <v>24</v>
      </c>
      <c r="K43" s="3" t="s">
        <v>25</v>
      </c>
      <c r="L43" s="5">
        <v>271.0</v>
      </c>
      <c r="M43" s="5">
        <v>328.0</v>
      </c>
      <c r="N43" s="5">
        <v>250.0</v>
      </c>
      <c r="O43" s="5">
        <v>849.0</v>
      </c>
      <c r="P43" s="6">
        <v>44873.0</v>
      </c>
      <c r="Q43" s="3" t="s">
        <v>30</v>
      </c>
      <c r="R43" s="3" t="s">
        <v>25</v>
      </c>
      <c r="S43" s="5">
        <v>1115055.0</v>
      </c>
      <c r="T43" s="3"/>
      <c r="U43" s="3"/>
      <c r="V43" s="3"/>
      <c r="W43" s="3"/>
      <c r="X43" s="3"/>
    </row>
    <row r="44">
      <c r="A44" s="3" t="s">
        <v>120</v>
      </c>
      <c r="B44" s="3" t="s">
        <v>121</v>
      </c>
      <c r="C44" s="3" t="s">
        <v>21</v>
      </c>
      <c r="D44" s="3" t="s">
        <v>59</v>
      </c>
      <c r="E44" s="3" t="s">
        <v>87</v>
      </c>
      <c r="F44" s="3" t="s">
        <v>24</v>
      </c>
      <c r="G44" s="3" t="s">
        <v>25</v>
      </c>
      <c r="H44" s="3" t="s">
        <v>30</v>
      </c>
      <c r="I44" s="3" t="s">
        <v>25</v>
      </c>
      <c r="J44" s="3" t="s">
        <v>24</v>
      </c>
      <c r="K44" s="3" t="s">
        <v>25</v>
      </c>
      <c r="L44" s="5">
        <v>290.0</v>
      </c>
      <c r="M44" s="5">
        <v>300.0</v>
      </c>
      <c r="N44" s="5">
        <v>250.0</v>
      </c>
      <c r="O44" s="5">
        <v>840.0</v>
      </c>
      <c r="P44" s="6">
        <v>44667.0</v>
      </c>
      <c r="Q44" s="3" t="s">
        <v>30</v>
      </c>
      <c r="R44" s="3" t="s">
        <v>25</v>
      </c>
      <c r="S44" s="5">
        <v>351569.0</v>
      </c>
      <c r="T44" s="3"/>
      <c r="U44" s="3"/>
      <c r="V44" s="3"/>
      <c r="W44" s="3"/>
      <c r="X44" s="3"/>
    </row>
    <row r="45">
      <c r="A45" s="3" t="s">
        <v>122</v>
      </c>
      <c r="B45" s="3" t="s">
        <v>123</v>
      </c>
      <c r="C45" s="3" t="s">
        <v>21</v>
      </c>
      <c r="D45" s="3" t="s">
        <v>59</v>
      </c>
      <c r="E45" s="3" t="s">
        <v>87</v>
      </c>
      <c r="F45" s="3" t="s">
        <v>30</v>
      </c>
      <c r="G45" s="3" t="s">
        <v>25</v>
      </c>
      <c r="H45" s="3" t="s">
        <v>30</v>
      </c>
      <c r="I45" s="3" t="s">
        <v>25</v>
      </c>
      <c r="J45" s="3" t="s">
        <v>24</v>
      </c>
      <c r="K45" s="3" t="s">
        <v>25</v>
      </c>
      <c r="L45" s="5">
        <v>313.0</v>
      </c>
      <c r="M45" s="5">
        <v>300.0</v>
      </c>
      <c r="N45" s="5">
        <v>215.0</v>
      </c>
      <c r="O45" s="5">
        <v>828.0</v>
      </c>
      <c r="P45" s="6">
        <v>44668.0</v>
      </c>
      <c r="Q45" s="3" t="s">
        <v>30</v>
      </c>
      <c r="R45" s="3" t="s">
        <v>25</v>
      </c>
      <c r="S45" s="5">
        <v>35527.0</v>
      </c>
      <c r="T45" s="3"/>
      <c r="U45" s="3"/>
      <c r="V45" s="3"/>
      <c r="W45" s="3"/>
      <c r="X45" s="3"/>
    </row>
    <row r="46">
      <c r="A46" s="3" t="s">
        <v>124</v>
      </c>
      <c r="B46" s="3" t="s">
        <v>125</v>
      </c>
      <c r="C46" s="3" t="s">
        <v>21</v>
      </c>
      <c r="D46" s="3" t="s">
        <v>59</v>
      </c>
      <c r="E46" s="3" t="s">
        <v>87</v>
      </c>
      <c r="F46" s="3" t="s">
        <v>24</v>
      </c>
      <c r="G46" s="3" t="s">
        <v>25</v>
      </c>
      <c r="H46" s="3" t="s">
        <v>24</v>
      </c>
      <c r="I46" s="3" t="s">
        <v>25</v>
      </c>
      <c r="J46" s="3" t="s">
        <v>30</v>
      </c>
      <c r="K46" s="3" t="s">
        <v>25</v>
      </c>
      <c r="L46" s="5">
        <v>245.0</v>
      </c>
      <c r="M46" s="5">
        <v>275.0</v>
      </c>
      <c r="N46" s="5">
        <v>300.0</v>
      </c>
      <c r="O46" s="5">
        <v>820.0</v>
      </c>
      <c r="P46" s="6">
        <v>44722.0</v>
      </c>
      <c r="Q46" s="3" t="s">
        <v>30</v>
      </c>
      <c r="R46" s="3" t="s">
        <v>25</v>
      </c>
      <c r="S46" s="5">
        <v>775215.0</v>
      </c>
      <c r="T46" s="3"/>
      <c r="U46" s="3"/>
      <c r="V46" s="3"/>
      <c r="W46" s="3"/>
      <c r="X46" s="3"/>
    </row>
    <row r="47">
      <c r="A47" s="3" t="s">
        <v>126</v>
      </c>
      <c r="B47" s="3" t="s">
        <v>127</v>
      </c>
      <c r="C47" s="3" t="s">
        <v>21</v>
      </c>
      <c r="D47" s="3" t="s">
        <v>22</v>
      </c>
      <c r="E47" s="3" t="s">
        <v>87</v>
      </c>
      <c r="F47" s="3" t="s">
        <v>24</v>
      </c>
      <c r="G47" s="3" t="s">
        <v>25</v>
      </c>
      <c r="H47" s="3" t="s">
        <v>30</v>
      </c>
      <c r="I47" s="3" t="s">
        <v>25</v>
      </c>
      <c r="J47" s="3" t="s">
        <v>24</v>
      </c>
      <c r="K47" s="3" t="s">
        <v>25</v>
      </c>
      <c r="L47" s="5">
        <v>280.0</v>
      </c>
      <c r="M47" s="5">
        <v>300.0</v>
      </c>
      <c r="N47" s="5">
        <v>230.0</v>
      </c>
      <c r="O47" s="5">
        <v>810.0</v>
      </c>
      <c r="P47" s="6">
        <v>44667.0</v>
      </c>
      <c r="Q47" s="3" t="s">
        <v>30</v>
      </c>
      <c r="R47" s="3" t="s">
        <v>25</v>
      </c>
      <c r="S47" s="5">
        <v>28412.0</v>
      </c>
      <c r="T47" s="3"/>
      <c r="U47" s="3"/>
      <c r="V47" s="3"/>
      <c r="W47" s="3"/>
      <c r="X47" s="3"/>
    </row>
    <row r="48">
      <c r="A48" s="3" t="s">
        <v>128</v>
      </c>
      <c r="B48" s="3" t="s">
        <v>129</v>
      </c>
      <c r="C48" s="3" t="s">
        <v>21</v>
      </c>
      <c r="D48" s="3" t="s">
        <v>59</v>
      </c>
      <c r="E48" s="3" t="s">
        <v>87</v>
      </c>
      <c r="F48" s="3" t="s">
        <v>24</v>
      </c>
      <c r="G48" s="3" t="s">
        <v>25</v>
      </c>
      <c r="H48" s="3" t="s">
        <v>30</v>
      </c>
      <c r="I48" s="3" t="s">
        <v>25</v>
      </c>
      <c r="J48" s="3" t="s">
        <v>24</v>
      </c>
      <c r="K48" s="3" t="s">
        <v>25</v>
      </c>
      <c r="L48" s="5">
        <v>255.0</v>
      </c>
      <c r="M48" s="5">
        <v>321.0</v>
      </c>
      <c r="N48" s="5">
        <v>233.0</v>
      </c>
      <c r="O48" s="5">
        <v>809.0</v>
      </c>
      <c r="P48" s="6">
        <v>44668.0</v>
      </c>
      <c r="Q48" s="3" t="s">
        <v>30</v>
      </c>
      <c r="R48" s="3" t="s">
        <v>25</v>
      </c>
      <c r="S48" s="5">
        <v>706129.0</v>
      </c>
      <c r="T48" s="3"/>
      <c r="U48" s="3"/>
      <c r="V48" s="3"/>
      <c r="W48" s="3"/>
      <c r="X48" s="3"/>
    </row>
    <row r="49">
      <c r="A49" s="3" t="s">
        <v>130</v>
      </c>
      <c r="B49" s="3" t="s">
        <v>131</v>
      </c>
      <c r="C49" s="3" t="s">
        <v>21</v>
      </c>
      <c r="D49" s="3" t="s">
        <v>59</v>
      </c>
      <c r="E49" s="3" t="s">
        <v>87</v>
      </c>
      <c r="F49" s="3" t="s">
        <v>24</v>
      </c>
      <c r="G49" s="3" t="s">
        <v>25</v>
      </c>
      <c r="H49" s="3" t="s">
        <v>30</v>
      </c>
      <c r="I49" s="3" t="s">
        <v>25</v>
      </c>
      <c r="J49" s="3" t="s">
        <v>24</v>
      </c>
      <c r="K49" s="3" t="s">
        <v>25</v>
      </c>
      <c r="L49" s="5">
        <v>205.0</v>
      </c>
      <c r="M49" s="5">
        <v>302.0</v>
      </c>
      <c r="N49" s="5">
        <v>210.0</v>
      </c>
      <c r="O49" s="5">
        <v>717.0</v>
      </c>
      <c r="P49" s="6">
        <v>44669.0</v>
      </c>
      <c r="Q49" s="3" t="s">
        <v>24</v>
      </c>
      <c r="R49" s="3" t="s">
        <v>25</v>
      </c>
      <c r="S49" s="5">
        <v>1098146.0</v>
      </c>
      <c r="T49" s="3"/>
      <c r="U49" s="3"/>
      <c r="V49" s="3"/>
      <c r="W49" s="3"/>
      <c r="X49" s="3"/>
    </row>
    <row r="50">
      <c r="A50" s="3" t="s">
        <v>132</v>
      </c>
      <c r="B50" s="3" t="s">
        <v>133</v>
      </c>
      <c r="C50" s="3" t="s">
        <v>21</v>
      </c>
      <c r="D50" s="3" t="s">
        <v>59</v>
      </c>
      <c r="E50" s="3" t="s">
        <v>87</v>
      </c>
      <c r="F50" s="3" t="s">
        <v>24</v>
      </c>
      <c r="G50" s="3" t="s">
        <v>25</v>
      </c>
      <c r="H50" s="3" t="s">
        <v>24</v>
      </c>
      <c r="I50" s="3" t="s">
        <v>25</v>
      </c>
      <c r="J50" s="3" t="s">
        <v>24</v>
      </c>
      <c r="K50" s="3" t="s">
        <v>25</v>
      </c>
      <c r="L50" s="5">
        <v>250.0</v>
      </c>
      <c r="M50" s="5">
        <v>207.0</v>
      </c>
      <c r="N50" s="5">
        <v>233.0</v>
      </c>
      <c r="O50" s="5">
        <v>690.0</v>
      </c>
      <c r="P50" s="6">
        <v>44668.0</v>
      </c>
      <c r="Q50" s="3" t="s">
        <v>24</v>
      </c>
      <c r="R50" s="3" t="s">
        <v>25</v>
      </c>
      <c r="S50" s="5">
        <v>1109242.0</v>
      </c>
      <c r="T50" s="3"/>
      <c r="U50" s="3"/>
      <c r="V50" s="3"/>
      <c r="W50" s="3"/>
      <c r="X50" s="3"/>
    </row>
    <row r="51">
      <c r="A51" s="3" t="s">
        <v>134</v>
      </c>
      <c r="B51" s="3" t="s">
        <v>135</v>
      </c>
      <c r="C51" s="3" t="s">
        <v>21</v>
      </c>
      <c r="D51" s="3" t="s">
        <v>59</v>
      </c>
      <c r="E51" s="3" t="s">
        <v>87</v>
      </c>
      <c r="F51" s="3" t="s">
        <v>24</v>
      </c>
      <c r="G51" s="3" t="s">
        <v>25</v>
      </c>
      <c r="H51" s="3" t="s">
        <v>24</v>
      </c>
      <c r="I51" s="3" t="s">
        <v>25</v>
      </c>
      <c r="J51" s="3" t="s">
        <v>24</v>
      </c>
      <c r="K51" s="3" t="s">
        <v>25</v>
      </c>
      <c r="L51" s="5">
        <v>220.0</v>
      </c>
      <c r="M51" s="5">
        <v>219.0</v>
      </c>
      <c r="N51" s="5">
        <v>215.0</v>
      </c>
      <c r="O51" s="5">
        <v>654.0</v>
      </c>
      <c r="P51" s="6">
        <v>44667.0</v>
      </c>
      <c r="Q51" s="3" t="s">
        <v>24</v>
      </c>
      <c r="R51" s="3" t="s">
        <v>25</v>
      </c>
      <c r="S51" s="5">
        <v>715579.0</v>
      </c>
      <c r="T51" s="3"/>
      <c r="U51" s="3"/>
      <c r="V51" s="3"/>
      <c r="W51" s="3"/>
      <c r="X51" s="3"/>
    </row>
    <row r="52">
      <c r="A52" s="3" t="s">
        <v>136</v>
      </c>
      <c r="B52" s="3" t="s">
        <v>137</v>
      </c>
      <c r="C52" s="3" t="s">
        <v>21</v>
      </c>
      <c r="D52" s="3" t="s">
        <v>22</v>
      </c>
      <c r="E52" s="3" t="s">
        <v>87</v>
      </c>
      <c r="F52" s="3" t="s">
        <v>24</v>
      </c>
      <c r="G52" s="3" t="s">
        <v>25</v>
      </c>
      <c r="H52" s="3" t="s">
        <v>24</v>
      </c>
      <c r="I52" s="3" t="s">
        <v>25</v>
      </c>
      <c r="J52" s="3" t="s">
        <v>24</v>
      </c>
      <c r="K52" s="3" t="s">
        <v>25</v>
      </c>
      <c r="L52" s="5">
        <v>230.0</v>
      </c>
      <c r="M52" s="5">
        <v>215.0</v>
      </c>
      <c r="N52" s="5">
        <v>205.0</v>
      </c>
      <c r="O52" s="5">
        <v>650.0</v>
      </c>
      <c r="P52" s="6">
        <v>44667.0</v>
      </c>
      <c r="Q52" s="3" t="s">
        <v>24</v>
      </c>
      <c r="R52" s="3" t="s">
        <v>25</v>
      </c>
      <c r="S52" s="5">
        <v>759944.0</v>
      </c>
      <c r="T52" s="3"/>
      <c r="U52" s="3"/>
      <c r="V52" s="3"/>
      <c r="W52" s="3"/>
      <c r="X52" s="3"/>
    </row>
    <row r="53">
      <c r="A53" s="3" t="s">
        <v>138</v>
      </c>
      <c r="B53" s="3" t="s">
        <v>139</v>
      </c>
      <c r="C53" s="3" t="s">
        <v>21</v>
      </c>
      <c r="D53" s="3" t="s">
        <v>59</v>
      </c>
      <c r="E53" s="3" t="s">
        <v>87</v>
      </c>
      <c r="F53" s="3" t="s">
        <v>24</v>
      </c>
      <c r="G53" s="3" t="s">
        <v>25</v>
      </c>
      <c r="H53" s="3" t="s">
        <v>24</v>
      </c>
      <c r="I53" s="3" t="s">
        <v>25</v>
      </c>
      <c r="J53" s="3" t="s">
        <v>24</v>
      </c>
      <c r="K53" s="3" t="s">
        <v>25</v>
      </c>
      <c r="L53" s="5">
        <v>210.0</v>
      </c>
      <c r="M53" s="5">
        <v>215.0</v>
      </c>
      <c r="N53" s="5">
        <v>215.0</v>
      </c>
      <c r="O53" s="5">
        <v>640.0</v>
      </c>
      <c r="P53" s="6">
        <v>44669.0</v>
      </c>
      <c r="Q53" s="3" t="s">
        <v>24</v>
      </c>
      <c r="R53" s="3" t="s">
        <v>25</v>
      </c>
      <c r="S53" s="5">
        <v>1277902.0</v>
      </c>
      <c r="T53" s="3"/>
      <c r="U53" s="3"/>
      <c r="V53" s="3"/>
      <c r="W53" s="3"/>
      <c r="X53" s="3"/>
    </row>
    <row r="54">
      <c r="A54" s="3" t="s">
        <v>140</v>
      </c>
      <c r="B54" s="3" t="s">
        <v>141</v>
      </c>
      <c r="C54" s="3" t="s">
        <v>21</v>
      </c>
      <c r="D54" s="3" t="s">
        <v>59</v>
      </c>
      <c r="E54" s="3" t="s">
        <v>87</v>
      </c>
      <c r="F54" s="3" t="s">
        <v>24</v>
      </c>
      <c r="G54" s="3" t="s">
        <v>25</v>
      </c>
      <c r="H54" s="3" t="s">
        <v>24</v>
      </c>
      <c r="I54" s="3" t="s">
        <v>25</v>
      </c>
      <c r="J54" s="3" t="s">
        <v>24</v>
      </c>
      <c r="K54" s="3" t="s">
        <v>25</v>
      </c>
      <c r="L54" s="5">
        <v>200.0</v>
      </c>
      <c r="M54" s="5">
        <v>207.0</v>
      </c>
      <c r="N54" s="5">
        <v>200.0</v>
      </c>
      <c r="O54" s="5">
        <v>607.0</v>
      </c>
      <c r="P54" s="6">
        <v>44722.0</v>
      </c>
      <c r="Q54" s="3" t="s">
        <v>24</v>
      </c>
      <c r="R54" s="3" t="s">
        <v>25</v>
      </c>
      <c r="S54" s="5">
        <v>1823406.0</v>
      </c>
      <c r="T54" s="3"/>
      <c r="U54" s="3"/>
      <c r="V54" s="3"/>
      <c r="W54" s="3"/>
      <c r="X54" s="3"/>
    </row>
    <row r="55">
      <c r="A55" s="3" t="s">
        <v>142</v>
      </c>
      <c r="B55" s="3" t="s">
        <v>143</v>
      </c>
      <c r="C55" s="3" t="s">
        <v>21</v>
      </c>
      <c r="D55" s="3" t="s">
        <v>59</v>
      </c>
      <c r="E55" s="3" t="s">
        <v>87</v>
      </c>
      <c r="F55" s="3" t="s">
        <v>24</v>
      </c>
      <c r="G55" s="3" t="s">
        <v>25</v>
      </c>
      <c r="H55" s="3" t="s">
        <v>24</v>
      </c>
      <c r="I55" s="3" t="s">
        <v>25</v>
      </c>
      <c r="J55" s="3" t="s">
        <v>24</v>
      </c>
      <c r="K55" s="3" t="s">
        <v>25</v>
      </c>
      <c r="L55" s="5">
        <v>200.0</v>
      </c>
      <c r="M55" s="5">
        <v>200.0</v>
      </c>
      <c r="N55" s="5">
        <v>200.0</v>
      </c>
      <c r="O55" s="5">
        <v>600.0</v>
      </c>
      <c r="P55" s="6">
        <v>44671.0</v>
      </c>
      <c r="Q55" s="3" t="s">
        <v>24</v>
      </c>
      <c r="R55" s="3" t="s">
        <v>25</v>
      </c>
      <c r="S55" s="5">
        <v>109380.0</v>
      </c>
      <c r="T55" s="3"/>
      <c r="U55" s="3"/>
      <c r="V55" s="3"/>
      <c r="W55" s="3"/>
      <c r="X55" s="3"/>
    </row>
    <row r="56">
      <c r="A56" s="3" t="s">
        <v>144</v>
      </c>
      <c r="B56" s="3" t="s">
        <v>145</v>
      </c>
      <c r="C56" s="3" t="s">
        <v>21</v>
      </c>
      <c r="D56" s="3" t="s">
        <v>59</v>
      </c>
      <c r="E56" s="3" t="s">
        <v>146</v>
      </c>
      <c r="F56" s="3" t="s">
        <v>147</v>
      </c>
      <c r="G56" s="3" t="s">
        <v>148</v>
      </c>
      <c r="H56" s="3" t="s">
        <v>30</v>
      </c>
      <c r="I56" s="3" t="s">
        <v>25</v>
      </c>
      <c r="J56" s="3" t="s">
        <v>30</v>
      </c>
      <c r="K56" s="3" t="s">
        <v>25</v>
      </c>
      <c r="L56" s="5">
        <v>719.0</v>
      </c>
      <c r="M56" s="5">
        <v>340.0</v>
      </c>
      <c r="N56" s="5">
        <v>358.0</v>
      </c>
      <c r="O56" s="5">
        <v>1417.0</v>
      </c>
      <c r="P56" s="6">
        <v>44669.0</v>
      </c>
      <c r="Q56" s="3" t="s">
        <v>28</v>
      </c>
      <c r="R56" s="3" t="s">
        <v>29</v>
      </c>
      <c r="S56" s="5">
        <v>77476.0</v>
      </c>
      <c r="T56" s="3"/>
      <c r="U56" s="3"/>
      <c r="V56" s="3"/>
      <c r="W56" s="3"/>
      <c r="X56" s="3"/>
    </row>
    <row r="57">
      <c r="A57" s="3" t="s">
        <v>149</v>
      </c>
      <c r="B57" s="3" t="s">
        <v>150</v>
      </c>
      <c r="C57" s="3" t="s">
        <v>21</v>
      </c>
      <c r="D57" s="3" t="s">
        <v>59</v>
      </c>
      <c r="E57" s="3" t="s">
        <v>146</v>
      </c>
      <c r="F57" s="3" t="s">
        <v>28</v>
      </c>
      <c r="G57" s="3" t="s">
        <v>29</v>
      </c>
      <c r="H57" s="3" t="s">
        <v>30</v>
      </c>
      <c r="I57" s="3" t="s">
        <v>25</v>
      </c>
      <c r="J57" s="3" t="s">
        <v>30</v>
      </c>
      <c r="K57" s="3" t="s">
        <v>25</v>
      </c>
      <c r="L57" s="5">
        <v>515.0</v>
      </c>
      <c r="M57" s="5">
        <v>344.0</v>
      </c>
      <c r="N57" s="5">
        <v>300.0</v>
      </c>
      <c r="O57" s="5">
        <v>1159.0</v>
      </c>
      <c r="P57" s="6">
        <v>44669.0</v>
      </c>
      <c r="Q57" s="3" t="s">
        <v>31</v>
      </c>
      <c r="R57" s="3" t="s">
        <v>29</v>
      </c>
      <c r="S57" s="5">
        <v>865752.0</v>
      </c>
      <c r="T57" s="3"/>
      <c r="U57" s="3"/>
      <c r="V57" s="3"/>
      <c r="W57" s="3"/>
      <c r="X57" s="3"/>
    </row>
    <row r="58">
      <c r="A58" s="3" t="s">
        <v>151</v>
      </c>
      <c r="B58" s="3" t="s">
        <v>152</v>
      </c>
      <c r="C58" s="3" t="s">
        <v>21</v>
      </c>
      <c r="D58" s="3" t="s">
        <v>22</v>
      </c>
      <c r="E58" s="3" t="s">
        <v>146</v>
      </c>
      <c r="F58" s="3" t="s">
        <v>31</v>
      </c>
      <c r="G58" s="3" t="s">
        <v>29</v>
      </c>
      <c r="H58" s="3" t="s">
        <v>30</v>
      </c>
      <c r="I58" s="3" t="s">
        <v>25</v>
      </c>
      <c r="J58" s="3" t="s">
        <v>24</v>
      </c>
      <c r="K58" s="3" t="s">
        <v>25</v>
      </c>
      <c r="L58" s="5">
        <v>459.0</v>
      </c>
      <c r="M58" s="5">
        <v>313.0</v>
      </c>
      <c r="N58" s="5">
        <v>295.0</v>
      </c>
      <c r="O58" s="5">
        <v>1067.0</v>
      </c>
      <c r="P58" s="6">
        <v>44667.0</v>
      </c>
      <c r="Q58" s="3" t="s">
        <v>31</v>
      </c>
      <c r="R58" s="3" t="s">
        <v>29</v>
      </c>
      <c r="S58" s="5">
        <v>16918.0</v>
      </c>
      <c r="T58" s="3"/>
      <c r="U58" s="3"/>
      <c r="V58" s="3"/>
      <c r="W58" s="3"/>
      <c r="X58" s="3"/>
    </row>
    <row r="59">
      <c r="A59" s="3" t="s">
        <v>153</v>
      </c>
      <c r="B59" s="3" t="s">
        <v>154</v>
      </c>
      <c r="C59" s="3" t="s">
        <v>21</v>
      </c>
      <c r="D59" s="3" t="s">
        <v>22</v>
      </c>
      <c r="E59" s="3" t="s">
        <v>146</v>
      </c>
      <c r="F59" s="3" t="s">
        <v>24</v>
      </c>
      <c r="G59" s="3" t="s">
        <v>25</v>
      </c>
      <c r="H59" s="3" t="s">
        <v>24</v>
      </c>
      <c r="I59" s="3" t="s">
        <v>25</v>
      </c>
      <c r="J59" s="3" t="s">
        <v>24</v>
      </c>
      <c r="K59" s="3" t="s">
        <v>25</v>
      </c>
      <c r="L59" s="5">
        <v>200.0</v>
      </c>
      <c r="M59" s="5">
        <v>201.0</v>
      </c>
      <c r="N59" s="5">
        <v>200.0</v>
      </c>
      <c r="O59" s="5">
        <v>601.0</v>
      </c>
      <c r="P59" s="6">
        <v>44667.0</v>
      </c>
      <c r="Q59" s="3" t="s">
        <v>24</v>
      </c>
      <c r="R59" s="3" t="s">
        <v>25</v>
      </c>
      <c r="S59" s="5">
        <v>21344.0</v>
      </c>
      <c r="T59" s="3"/>
      <c r="U59" s="3"/>
      <c r="V59" s="3"/>
      <c r="W59" s="3"/>
      <c r="X59" s="3"/>
    </row>
    <row r="60">
      <c r="A60" s="3" t="s">
        <v>155</v>
      </c>
      <c r="B60" s="3" t="s">
        <v>156</v>
      </c>
      <c r="C60" s="3" t="s">
        <v>21</v>
      </c>
      <c r="D60" s="3" t="s">
        <v>59</v>
      </c>
      <c r="E60" s="3" t="s">
        <v>157</v>
      </c>
      <c r="F60" s="3" t="s">
        <v>28</v>
      </c>
      <c r="G60" s="3" t="s">
        <v>29</v>
      </c>
      <c r="H60" s="3" t="s">
        <v>30</v>
      </c>
      <c r="I60" s="3" t="s">
        <v>25</v>
      </c>
      <c r="J60" s="3" t="s">
        <v>30</v>
      </c>
      <c r="K60" s="3" t="s">
        <v>25</v>
      </c>
      <c r="L60" s="5">
        <v>575.0</v>
      </c>
      <c r="M60" s="5">
        <v>312.0</v>
      </c>
      <c r="N60" s="5">
        <v>328.0</v>
      </c>
      <c r="O60" s="5">
        <v>1215.0</v>
      </c>
      <c r="P60" s="6">
        <v>44667.0</v>
      </c>
      <c r="Q60" s="3" t="s">
        <v>28</v>
      </c>
      <c r="R60" s="3" t="s">
        <v>29</v>
      </c>
      <c r="S60" s="5">
        <v>318154.0</v>
      </c>
      <c r="T60" s="3"/>
      <c r="U60" s="3"/>
      <c r="V60" s="3"/>
      <c r="W60" s="3"/>
      <c r="X60" s="3"/>
    </row>
    <row r="61">
      <c r="A61" s="3" t="s">
        <v>158</v>
      </c>
      <c r="B61" s="3" t="s">
        <v>159</v>
      </c>
      <c r="C61" s="3" t="s">
        <v>21</v>
      </c>
      <c r="D61" s="3" t="s">
        <v>59</v>
      </c>
      <c r="E61" s="3" t="s">
        <v>157</v>
      </c>
      <c r="F61" s="3" t="s">
        <v>28</v>
      </c>
      <c r="G61" s="3" t="s">
        <v>29</v>
      </c>
      <c r="H61" s="3" t="s">
        <v>30</v>
      </c>
      <c r="I61" s="3" t="s">
        <v>25</v>
      </c>
      <c r="J61" s="3" t="s">
        <v>30</v>
      </c>
      <c r="K61" s="3" t="s">
        <v>25</v>
      </c>
      <c r="L61" s="5">
        <v>535.0</v>
      </c>
      <c r="M61" s="5">
        <v>322.0</v>
      </c>
      <c r="N61" s="5">
        <v>325.0</v>
      </c>
      <c r="O61" s="5">
        <v>1182.0</v>
      </c>
      <c r="P61" s="6">
        <v>44722.0</v>
      </c>
      <c r="Q61" s="3" t="s">
        <v>31</v>
      </c>
      <c r="R61" s="3" t="s">
        <v>29</v>
      </c>
      <c r="S61" s="5">
        <v>1705843.0</v>
      </c>
      <c r="T61" s="3"/>
      <c r="U61" s="3"/>
      <c r="V61" s="3"/>
      <c r="W61" s="3"/>
      <c r="X61" s="3"/>
    </row>
    <row r="62">
      <c r="A62" s="3" t="s">
        <v>160</v>
      </c>
      <c r="B62" s="3" t="s">
        <v>161</v>
      </c>
      <c r="C62" s="3" t="s">
        <v>21</v>
      </c>
      <c r="D62" s="3" t="s">
        <v>59</v>
      </c>
      <c r="E62" s="3" t="s">
        <v>157</v>
      </c>
      <c r="F62" s="3" t="s">
        <v>28</v>
      </c>
      <c r="G62" s="3" t="s">
        <v>29</v>
      </c>
      <c r="H62" s="3" t="s">
        <v>30</v>
      </c>
      <c r="I62" s="3" t="s">
        <v>25</v>
      </c>
      <c r="J62" s="3" t="s">
        <v>30</v>
      </c>
      <c r="K62" s="3" t="s">
        <v>25</v>
      </c>
      <c r="L62" s="5">
        <v>535.0</v>
      </c>
      <c r="M62" s="5">
        <v>324.0</v>
      </c>
      <c r="N62" s="5">
        <v>305.0</v>
      </c>
      <c r="O62" s="5">
        <v>1164.0</v>
      </c>
      <c r="P62" s="6">
        <v>44722.0</v>
      </c>
      <c r="Q62" s="3" t="s">
        <v>31</v>
      </c>
      <c r="R62" s="3" t="s">
        <v>29</v>
      </c>
      <c r="S62" s="5">
        <v>1737287.0</v>
      </c>
      <c r="T62" s="3"/>
      <c r="U62" s="3"/>
      <c r="V62" s="3"/>
      <c r="W62" s="3"/>
      <c r="X62" s="3"/>
    </row>
    <row r="63">
      <c r="A63" s="3" t="s">
        <v>162</v>
      </c>
      <c r="B63" s="3" t="s">
        <v>163</v>
      </c>
      <c r="C63" s="3" t="s">
        <v>21</v>
      </c>
      <c r="D63" s="3" t="s">
        <v>59</v>
      </c>
      <c r="E63" s="3" t="s">
        <v>157</v>
      </c>
      <c r="F63" s="3" t="s">
        <v>28</v>
      </c>
      <c r="G63" s="3" t="s">
        <v>29</v>
      </c>
      <c r="H63" s="3" t="s">
        <v>30</v>
      </c>
      <c r="I63" s="3" t="s">
        <v>25</v>
      </c>
      <c r="J63" s="3" t="s">
        <v>30</v>
      </c>
      <c r="K63" s="3" t="s">
        <v>25</v>
      </c>
      <c r="L63" s="5">
        <v>520.0</v>
      </c>
      <c r="M63" s="5">
        <v>303.0</v>
      </c>
      <c r="N63" s="5">
        <v>325.0</v>
      </c>
      <c r="O63" s="5">
        <v>1148.0</v>
      </c>
      <c r="P63" s="6">
        <v>44667.0</v>
      </c>
      <c r="Q63" s="3" t="s">
        <v>31</v>
      </c>
      <c r="R63" s="3" t="s">
        <v>29</v>
      </c>
      <c r="S63" s="5">
        <v>1439222.0</v>
      </c>
      <c r="T63" s="3"/>
      <c r="U63" s="3"/>
      <c r="V63" s="3"/>
      <c r="W63" s="3"/>
      <c r="X63" s="3"/>
    </row>
    <row r="64">
      <c r="A64" s="3" t="s">
        <v>164</v>
      </c>
      <c r="B64" s="3" t="s">
        <v>165</v>
      </c>
      <c r="C64" s="3" t="s">
        <v>21</v>
      </c>
      <c r="D64" s="3" t="s">
        <v>59</v>
      </c>
      <c r="E64" s="3" t="s">
        <v>157</v>
      </c>
      <c r="F64" s="3" t="s">
        <v>28</v>
      </c>
      <c r="G64" s="3" t="s">
        <v>29</v>
      </c>
      <c r="H64" s="3" t="s">
        <v>30</v>
      </c>
      <c r="I64" s="3" t="s">
        <v>25</v>
      </c>
      <c r="J64" s="3" t="s">
        <v>30</v>
      </c>
      <c r="K64" s="3" t="s">
        <v>25</v>
      </c>
      <c r="L64" s="5">
        <v>505.0</v>
      </c>
      <c r="M64" s="5">
        <v>327.0</v>
      </c>
      <c r="N64" s="5">
        <v>305.0</v>
      </c>
      <c r="O64" s="5">
        <v>1137.0</v>
      </c>
      <c r="P64" s="6">
        <v>44670.0</v>
      </c>
      <c r="Q64" s="3" t="s">
        <v>31</v>
      </c>
      <c r="R64" s="3" t="s">
        <v>29</v>
      </c>
      <c r="S64" s="5">
        <v>872589.0</v>
      </c>
      <c r="T64" s="3"/>
      <c r="U64" s="3"/>
      <c r="V64" s="3"/>
      <c r="W64" s="3"/>
      <c r="X64" s="3"/>
    </row>
    <row r="65">
      <c r="A65" s="3" t="s">
        <v>166</v>
      </c>
      <c r="B65" s="3" t="s">
        <v>167</v>
      </c>
      <c r="C65" s="3" t="s">
        <v>21</v>
      </c>
      <c r="D65" s="3" t="s">
        <v>59</v>
      </c>
      <c r="E65" s="3" t="s">
        <v>157</v>
      </c>
      <c r="F65" s="3" t="s">
        <v>28</v>
      </c>
      <c r="G65" s="3" t="s">
        <v>29</v>
      </c>
      <c r="H65" s="3" t="s">
        <v>30</v>
      </c>
      <c r="I65" s="3" t="s">
        <v>25</v>
      </c>
      <c r="J65" s="3" t="s">
        <v>30</v>
      </c>
      <c r="K65" s="3" t="s">
        <v>25</v>
      </c>
      <c r="L65" s="5">
        <v>510.0</v>
      </c>
      <c r="M65" s="5">
        <v>302.0</v>
      </c>
      <c r="N65" s="5">
        <v>315.0</v>
      </c>
      <c r="O65" s="5">
        <v>1127.0</v>
      </c>
      <c r="P65" s="6">
        <v>44668.0</v>
      </c>
      <c r="Q65" s="3" t="s">
        <v>31</v>
      </c>
      <c r="R65" s="3" t="s">
        <v>29</v>
      </c>
      <c r="S65" s="5">
        <v>1159036.0</v>
      </c>
      <c r="T65" s="3"/>
      <c r="U65" s="3"/>
      <c r="V65" s="3"/>
      <c r="W65" s="3"/>
      <c r="X65" s="3"/>
    </row>
    <row r="66">
      <c r="A66" s="3" t="s">
        <v>168</v>
      </c>
      <c r="B66" s="3" t="s">
        <v>169</v>
      </c>
      <c r="C66" s="3" t="s">
        <v>21</v>
      </c>
      <c r="D66" s="3" t="s">
        <v>22</v>
      </c>
      <c r="E66" s="3" t="s">
        <v>157</v>
      </c>
      <c r="F66" s="3" t="s">
        <v>28</v>
      </c>
      <c r="G66" s="3" t="s">
        <v>29</v>
      </c>
      <c r="H66" s="3" t="s">
        <v>30</v>
      </c>
      <c r="I66" s="3" t="s">
        <v>25</v>
      </c>
      <c r="J66" s="3" t="s">
        <v>30</v>
      </c>
      <c r="K66" s="3" t="s">
        <v>25</v>
      </c>
      <c r="L66" s="5">
        <v>505.0</v>
      </c>
      <c r="M66" s="5">
        <v>317.0</v>
      </c>
      <c r="N66" s="5">
        <v>300.0</v>
      </c>
      <c r="O66" s="5">
        <v>1122.0</v>
      </c>
      <c r="P66" s="6">
        <v>44667.0</v>
      </c>
      <c r="Q66" s="3" t="s">
        <v>31</v>
      </c>
      <c r="R66" s="3" t="s">
        <v>29</v>
      </c>
      <c r="S66" s="5">
        <v>1551152.0</v>
      </c>
      <c r="T66" s="3"/>
      <c r="U66" s="3"/>
      <c r="V66" s="3"/>
      <c r="W66" s="3"/>
      <c r="X66" s="3"/>
    </row>
    <row r="67">
      <c r="A67" s="3" t="s">
        <v>170</v>
      </c>
      <c r="B67" s="3" t="s">
        <v>171</v>
      </c>
      <c r="C67" s="3" t="s">
        <v>21</v>
      </c>
      <c r="D67" s="3" t="s">
        <v>59</v>
      </c>
      <c r="E67" s="3" t="s">
        <v>157</v>
      </c>
      <c r="F67" s="3" t="s">
        <v>28</v>
      </c>
      <c r="G67" s="3" t="s">
        <v>29</v>
      </c>
      <c r="H67" s="3" t="s">
        <v>30</v>
      </c>
      <c r="I67" s="3" t="s">
        <v>25</v>
      </c>
      <c r="J67" s="3" t="s">
        <v>30</v>
      </c>
      <c r="K67" s="3" t="s">
        <v>25</v>
      </c>
      <c r="L67" s="5">
        <v>500.0</v>
      </c>
      <c r="M67" s="5">
        <v>300.0</v>
      </c>
      <c r="N67" s="5">
        <v>310.0</v>
      </c>
      <c r="O67" s="5">
        <v>1110.0</v>
      </c>
      <c r="P67" s="6">
        <v>44722.0</v>
      </c>
      <c r="Q67" s="3" t="s">
        <v>31</v>
      </c>
      <c r="R67" s="3" t="s">
        <v>29</v>
      </c>
      <c r="S67" s="5">
        <v>1322505.0</v>
      </c>
      <c r="T67" s="3"/>
      <c r="U67" s="3"/>
      <c r="V67" s="3"/>
      <c r="W67" s="3"/>
      <c r="X67" s="3"/>
    </row>
    <row r="68">
      <c r="A68" s="3" t="s">
        <v>172</v>
      </c>
      <c r="B68" s="3" t="s">
        <v>173</v>
      </c>
      <c r="C68" s="3" t="s">
        <v>21</v>
      </c>
      <c r="D68" s="3" t="s">
        <v>59</v>
      </c>
      <c r="E68" s="3" t="s">
        <v>157</v>
      </c>
      <c r="F68" s="3" t="s">
        <v>28</v>
      </c>
      <c r="G68" s="3" t="s">
        <v>29</v>
      </c>
      <c r="H68" s="3" t="s">
        <v>30</v>
      </c>
      <c r="I68" s="3" t="s">
        <v>25</v>
      </c>
      <c r="J68" s="3" t="s">
        <v>30</v>
      </c>
      <c r="K68" s="3" t="s">
        <v>25</v>
      </c>
      <c r="L68" s="5">
        <v>500.0</v>
      </c>
      <c r="M68" s="5">
        <v>303.0</v>
      </c>
      <c r="N68" s="5">
        <v>300.0</v>
      </c>
      <c r="O68" s="5">
        <v>1103.0</v>
      </c>
      <c r="P68" s="6">
        <v>44668.0</v>
      </c>
      <c r="Q68" s="3" t="s">
        <v>31</v>
      </c>
      <c r="R68" s="3" t="s">
        <v>29</v>
      </c>
      <c r="S68" s="5">
        <v>882095.0</v>
      </c>
      <c r="T68" s="3"/>
      <c r="U68" s="3"/>
      <c r="V68" s="3"/>
      <c r="W68" s="3"/>
      <c r="X68" s="3"/>
    </row>
    <row r="69">
      <c r="A69" s="3" t="s">
        <v>174</v>
      </c>
      <c r="B69" s="3" t="s">
        <v>175</v>
      </c>
      <c r="C69" s="3" t="s">
        <v>21</v>
      </c>
      <c r="D69" s="3" t="s">
        <v>59</v>
      </c>
      <c r="E69" s="3" t="s">
        <v>157</v>
      </c>
      <c r="F69" s="3" t="s">
        <v>28</v>
      </c>
      <c r="G69" s="3" t="s">
        <v>29</v>
      </c>
      <c r="H69" s="3" t="s">
        <v>30</v>
      </c>
      <c r="I69" s="3" t="s">
        <v>25</v>
      </c>
      <c r="J69" s="3" t="s">
        <v>30</v>
      </c>
      <c r="K69" s="3" t="s">
        <v>25</v>
      </c>
      <c r="L69" s="5">
        <v>500.0</v>
      </c>
      <c r="M69" s="5">
        <v>300.0</v>
      </c>
      <c r="N69" s="5">
        <v>300.0</v>
      </c>
      <c r="O69" s="5">
        <v>1100.0</v>
      </c>
      <c r="P69" s="6">
        <v>44669.0</v>
      </c>
      <c r="Q69" s="3" t="s">
        <v>31</v>
      </c>
      <c r="R69" s="3" t="s">
        <v>29</v>
      </c>
      <c r="S69" s="5">
        <v>1682852.0</v>
      </c>
      <c r="T69" s="3"/>
      <c r="U69" s="3"/>
      <c r="V69" s="3"/>
      <c r="W69" s="3"/>
      <c r="X69" s="3"/>
    </row>
    <row r="70">
      <c r="A70" s="3" t="s">
        <v>176</v>
      </c>
      <c r="B70" s="3" t="s">
        <v>177</v>
      </c>
      <c r="C70" s="3" t="s">
        <v>21</v>
      </c>
      <c r="D70" s="3" t="s">
        <v>59</v>
      </c>
      <c r="E70" s="3" t="s">
        <v>157</v>
      </c>
      <c r="F70" s="3" t="s">
        <v>28</v>
      </c>
      <c r="G70" s="3" t="s">
        <v>29</v>
      </c>
      <c r="H70" s="3" t="s">
        <v>30</v>
      </c>
      <c r="I70" s="3" t="s">
        <v>25</v>
      </c>
      <c r="J70" s="3" t="s">
        <v>30</v>
      </c>
      <c r="K70" s="3" t="s">
        <v>25</v>
      </c>
      <c r="L70" s="5">
        <v>500.0</v>
      </c>
      <c r="M70" s="5">
        <v>300.0</v>
      </c>
      <c r="N70" s="5">
        <v>300.0</v>
      </c>
      <c r="O70" s="5">
        <v>1100.0</v>
      </c>
      <c r="P70" s="6">
        <v>44670.0</v>
      </c>
      <c r="Q70" s="3" t="s">
        <v>31</v>
      </c>
      <c r="R70" s="3" t="s">
        <v>29</v>
      </c>
      <c r="S70" s="5">
        <v>875320.0</v>
      </c>
      <c r="T70" s="3"/>
      <c r="U70" s="3"/>
      <c r="V70" s="3"/>
      <c r="W70" s="3"/>
      <c r="X70" s="3"/>
    </row>
    <row r="71">
      <c r="A71" s="3" t="s">
        <v>178</v>
      </c>
      <c r="B71" s="3" t="s">
        <v>179</v>
      </c>
      <c r="C71" s="3" t="s">
        <v>21</v>
      </c>
      <c r="D71" s="3" t="s">
        <v>59</v>
      </c>
      <c r="E71" s="3" t="s">
        <v>157</v>
      </c>
      <c r="F71" s="3" t="s">
        <v>31</v>
      </c>
      <c r="G71" s="3" t="s">
        <v>29</v>
      </c>
      <c r="H71" s="3" t="s">
        <v>30</v>
      </c>
      <c r="I71" s="3" t="s">
        <v>25</v>
      </c>
      <c r="J71" s="3" t="s">
        <v>30</v>
      </c>
      <c r="K71" s="3" t="s">
        <v>25</v>
      </c>
      <c r="L71" s="5">
        <v>485.0</v>
      </c>
      <c r="M71" s="5">
        <v>300.0</v>
      </c>
      <c r="N71" s="5">
        <v>310.0</v>
      </c>
      <c r="O71" s="5">
        <v>1095.0</v>
      </c>
      <c r="P71" s="6">
        <v>44722.0</v>
      </c>
      <c r="Q71" s="3" t="s">
        <v>31</v>
      </c>
      <c r="R71" s="3" t="s">
        <v>29</v>
      </c>
      <c r="S71" s="5">
        <v>1708493.0</v>
      </c>
      <c r="T71" s="3"/>
      <c r="U71" s="3"/>
      <c r="V71" s="3"/>
      <c r="W71" s="3"/>
      <c r="X71" s="3"/>
    </row>
    <row r="72">
      <c r="A72" s="3" t="s">
        <v>180</v>
      </c>
      <c r="B72" s="3" t="s">
        <v>181</v>
      </c>
      <c r="C72" s="3" t="s">
        <v>21</v>
      </c>
      <c r="D72" s="3" t="s">
        <v>59</v>
      </c>
      <c r="E72" s="3" t="s">
        <v>157</v>
      </c>
      <c r="F72" s="3" t="s">
        <v>31</v>
      </c>
      <c r="G72" s="3" t="s">
        <v>29</v>
      </c>
      <c r="H72" s="3" t="s">
        <v>30</v>
      </c>
      <c r="I72" s="3" t="s">
        <v>25</v>
      </c>
      <c r="J72" s="3" t="s">
        <v>30</v>
      </c>
      <c r="K72" s="3" t="s">
        <v>25</v>
      </c>
      <c r="L72" s="5">
        <v>415.0</v>
      </c>
      <c r="M72" s="5">
        <v>302.0</v>
      </c>
      <c r="N72" s="5">
        <v>333.0</v>
      </c>
      <c r="O72" s="5">
        <v>1050.0</v>
      </c>
      <c r="P72" s="6">
        <v>44667.0</v>
      </c>
      <c r="Q72" s="3" t="s">
        <v>31</v>
      </c>
      <c r="R72" s="3" t="s">
        <v>29</v>
      </c>
      <c r="S72" s="5">
        <v>1520262.0</v>
      </c>
      <c r="T72" s="3"/>
      <c r="U72" s="3"/>
      <c r="V72" s="3"/>
      <c r="W72" s="3"/>
      <c r="X72" s="3"/>
    </row>
    <row r="73">
      <c r="A73" s="3" t="s">
        <v>182</v>
      </c>
      <c r="B73" s="3" t="s">
        <v>183</v>
      </c>
      <c r="C73" s="3" t="s">
        <v>21</v>
      </c>
      <c r="D73" s="3" t="s">
        <v>59</v>
      </c>
      <c r="E73" s="3" t="s">
        <v>157</v>
      </c>
      <c r="F73" s="3" t="s">
        <v>30</v>
      </c>
      <c r="G73" s="3" t="s">
        <v>25</v>
      </c>
      <c r="H73" s="3" t="s">
        <v>30</v>
      </c>
      <c r="I73" s="3" t="s">
        <v>25</v>
      </c>
      <c r="J73" s="3" t="s">
        <v>30</v>
      </c>
      <c r="K73" s="3" t="s">
        <v>25</v>
      </c>
      <c r="L73" s="5">
        <v>380.0</v>
      </c>
      <c r="M73" s="5">
        <v>303.0</v>
      </c>
      <c r="N73" s="5">
        <v>364.0</v>
      </c>
      <c r="O73" s="5">
        <v>1047.0</v>
      </c>
      <c r="P73" s="6">
        <v>44667.0</v>
      </c>
      <c r="Q73" s="3" t="s">
        <v>31</v>
      </c>
      <c r="R73" s="3" t="s">
        <v>29</v>
      </c>
      <c r="S73" s="5">
        <v>875045.0</v>
      </c>
      <c r="T73" s="3"/>
      <c r="U73" s="3"/>
      <c r="V73" s="3"/>
      <c r="W73" s="3"/>
      <c r="X73" s="3"/>
    </row>
    <row r="74">
      <c r="A74" s="3" t="s">
        <v>184</v>
      </c>
      <c r="B74" s="3" t="s">
        <v>185</v>
      </c>
      <c r="C74" s="3" t="s">
        <v>21</v>
      </c>
      <c r="D74" s="3" t="s">
        <v>59</v>
      </c>
      <c r="E74" s="3" t="s">
        <v>157</v>
      </c>
      <c r="F74" s="3" t="s">
        <v>30</v>
      </c>
      <c r="G74" s="3" t="s">
        <v>25</v>
      </c>
      <c r="H74" s="3" t="s">
        <v>30</v>
      </c>
      <c r="I74" s="3" t="s">
        <v>25</v>
      </c>
      <c r="J74" s="3" t="s">
        <v>30</v>
      </c>
      <c r="K74" s="3" t="s">
        <v>25</v>
      </c>
      <c r="L74" s="5">
        <v>360.0</v>
      </c>
      <c r="M74" s="5">
        <v>325.0</v>
      </c>
      <c r="N74" s="5">
        <v>320.0</v>
      </c>
      <c r="O74" s="5">
        <v>1005.0</v>
      </c>
      <c r="P74" s="6">
        <v>44722.0</v>
      </c>
      <c r="Q74" s="3" t="s">
        <v>31</v>
      </c>
      <c r="R74" s="3" t="s">
        <v>29</v>
      </c>
      <c r="S74" s="5">
        <v>1183765.0</v>
      </c>
      <c r="T74" s="3"/>
      <c r="U74" s="3"/>
      <c r="V74" s="3"/>
      <c r="W74" s="3"/>
      <c r="X74" s="3"/>
    </row>
    <row r="75">
      <c r="A75" s="3" t="s">
        <v>186</v>
      </c>
      <c r="B75" s="3" t="s">
        <v>187</v>
      </c>
      <c r="C75" s="3" t="s">
        <v>21</v>
      </c>
      <c r="D75" s="3" t="s">
        <v>59</v>
      </c>
      <c r="E75" s="3" t="s">
        <v>157</v>
      </c>
      <c r="F75" s="3" t="s">
        <v>30</v>
      </c>
      <c r="G75" s="3" t="s">
        <v>25</v>
      </c>
      <c r="H75" s="3" t="s">
        <v>30</v>
      </c>
      <c r="I75" s="3" t="s">
        <v>25</v>
      </c>
      <c r="J75" s="3" t="s">
        <v>30</v>
      </c>
      <c r="K75" s="3" t="s">
        <v>25</v>
      </c>
      <c r="L75" s="5">
        <v>331.0</v>
      </c>
      <c r="M75" s="5">
        <v>346.0</v>
      </c>
      <c r="N75" s="5">
        <v>325.0</v>
      </c>
      <c r="O75" s="5">
        <v>1002.0</v>
      </c>
      <c r="P75" s="6">
        <v>44667.0</v>
      </c>
      <c r="Q75" s="3" t="s">
        <v>31</v>
      </c>
      <c r="R75" s="3" t="s">
        <v>29</v>
      </c>
      <c r="S75" s="5">
        <v>1178670.0</v>
      </c>
      <c r="T75" s="3"/>
      <c r="U75" s="3"/>
      <c r="V75" s="3"/>
      <c r="W75" s="3"/>
      <c r="X75" s="3"/>
    </row>
    <row r="76">
      <c r="A76" s="3" t="s">
        <v>188</v>
      </c>
      <c r="B76" s="3" t="s">
        <v>189</v>
      </c>
      <c r="C76" s="3" t="s">
        <v>190</v>
      </c>
      <c r="D76" s="3" t="s">
        <v>59</v>
      </c>
      <c r="E76" s="3" t="s">
        <v>157</v>
      </c>
      <c r="F76" s="3" t="s">
        <v>30</v>
      </c>
      <c r="G76" s="3" t="s">
        <v>25</v>
      </c>
      <c r="H76" s="3" t="s">
        <v>30</v>
      </c>
      <c r="I76" s="3" t="s">
        <v>25</v>
      </c>
      <c r="J76" s="3" t="s">
        <v>30</v>
      </c>
      <c r="K76" s="3" t="s">
        <v>25</v>
      </c>
      <c r="L76" s="5">
        <v>368.0</v>
      </c>
      <c r="M76" s="5">
        <v>304.0</v>
      </c>
      <c r="N76" s="5">
        <v>310.0</v>
      </c>
      <c r="O76" s="5">
        <v>982.0</v>
      </c>
      <c r="P76" s="6">
        <v>44667.0</v>
      </c>
      <c r="Q76" s="3" t="s">
        <v>31</v>
      </c>
      <c r="R76" s="3" t="s">
        <v>29</v>
      </c>
      <c r="S76" s="5">
        <v>1608390.0</v>
      </c>
      <c r="T76" s="3"/>
      <c r="U76" s="3"/>
      <c r="V76" s="3"/>
      <c r="W76" s="3"/>
      <c r="X76" s="3"/>
    </row>
    <row r="77">
      <c r="A77" s="3" t="s">
        <v>191</v>
      </c>
      <c r="B77" s="3" t="s">
        <v>192</v>
      </c>
      <c r="C77" s="3" t="s">
        <v>21</v>
      </c>
      <c r="D77" s="3" t="s">
        <v>59</v>
      </c>
      <c r="E77" s="3" t="s">
        <v>157</v>
      </c>
      <c r="F77" s="3" t="s">
        <v>30</v>
      </c>
      <c r="G77" s="3" t="s">
        <v>25</v>
      </c>
      <c r="H77" s="3" t="s">
        <v>30</v>
      </c>
      <c r="I77" s="3" t="s">
        <v>25</v>
      </c>
      <c r="J77" s="3" t="s">
        <v>24</v>
      </c>
      <c r="K77" s="3" t="s">
        <v>25</v>
      </c>
      <c r="L77" s="5">
        <v>353.0</v>
      </c>
      <c r="M77" s="5">
        <v>321.0</v>
      </c>
      <c r="N77" s="5">
        <v>294.0</v>
      </c>
      <c r="O77" s="5">
        <v>968.0</v>
      </c>
      <c r="P77" s="6">
        <v>44669.0</v>
      </c>
      <c r="Q77" s="3" t="s">
        <v>31</v>
      </c>
      <c r="R77" s="3" t="s">
        <v>29</v>
      </c>
      <c r="S77" s="5">
        <v>899923.0</v>
      </c>
      <c r="T77" s="3"/>
      <c r="U77" s="3"/>
      <c r="V77" s="3"/>
      <c r="W77" s="3"/>
      <c r="X77" s="3"/>
    </row>
    <row r="78">
      <c r="A78" s="3" t="s">
        <v>193</v>
      </c>
      <c r="B78" s="3" t="s">
        <v>194</v>
      </c>
      <c r="C78" s="3" t="s">
        <v>21</v>
      </c>
      <c r="D78" s="3" t="s">
        <v>59</v>
      </c>
      <c r="E78" s="3" t="s">
        <v>157</v>
      </c>
      <c r="F78" s="3" t="s">
        <v>30</v>
      </c>
      <c r="G78" s="3" t="s">
        <v>25</v>
      </c>
      <c r="H78" s="3" t="s">
        <v>24</v>
      </c>
      <c r="I78" s="3" t="s">
        <v>25</v>
      </c>
      <c r="J78" s="3" t="s">
        <v>30</v>
      </c>
      <c r="K78" s="3" t="s">
        <v>25</v>
      </c>
      <c r="L78" s="5">
        <v>365.0</v>
      </c>
      <c r="M78" s="5">
        <v>283.0</v>
      </c>
      <c r="N78" s="5">
        <v>305.0</v>
      </c>
      <c r="O78" s="5">
        <v>953.0</v>
      </c>
      <c r="P78" s="6">
        <v>44667.0</v>
      </c>
      <c r="Q78" s="3" t="s">
        <v>31</v>
      </c>
      <c r="R78" s="3" t="s">
        <v>29</v>
      </c>
      <c r="S78" s="5">
        <v>1621227.0</v>
      </c>
      <c r="T78" s="3"/>
      <c r="U78" s="3"/>
      <c r="V78" s="3"/>
      <c r="W78" s="3"/>
      <c r="X78" s="3"/>
    </row>
    <row r="79">
      <c r="A79" s="3" t="s">
        <v>195</v>
      </c>
      <c r="B79" s="3" t="s">
        <v>196</v>
      </c>
      <c r="C79" s="3" t="s">
        <v>21</v>
      </c>
      <c r="D79" s="3" t="s">
        <v>59</v>
      </c>
      <c r="E79" s="3" t="s">
        <v>157</v>
      </c>
      <c r="F79" s="3" t="s">
        <v>24</v>
      </c>
      <c r="G79" s="3" t="s">
        <v>25</v>
      </c>
      <c r="H79" s="3" t="s">
        <v>30</v>
      </c>
      <c r="I79" s="3" t="s">
        <v>25</v>
      </c>
      <c r="J79" s="3" t="s">
        <v>30</v>
      </c>
      <c r="K79" s="3" t="s">
        <v>25</v>
      </c>
      <c r="L79" s="5">
        <v>295.0</v>
      </c>
      <c r="M79" s="5">
        <v>301.0</v>
      </c>
      <c r="N79" s="5">
        <v>305.0</v>
      </c>
      <c r="O79" s="5">
        <v>901.0</v>
      </c>
      <c r="P79" s="6">
        <v>44722.0</v>
      </c>
      <c r="Q79" s="3" t="s">
        <v>31</v>
      </c>
      <c r="R79" s="3" t="s">
        <v>29</v>
      </c>
      <c r="S79" s="5">
        <v>1818838.0</v>
      </c>
      <c r="T79" s="3"/>
      <c r="U79" s="3"/>
      <c r="V79" s="3"/>
      <c r="W79" s="3"/>
      <c r="X79" s="3"/>
    </row>
    <row r="80">
      <c r="A80" s="3" t="s">
        <v>197</v>
      </c>
      <c r="B80" s="3" t="s">
        <v>198</v>
      </c>
      <c r="C80" s="3" t="s">
        <v>21</v>
      </c>
      <c r="D80" s="3" t="s">
        <v>22</v>
      </c>
      <c r="E80" s="3" t="s">
        <v>157</v>
      </c>
      <c r="F80" s="3" t="s">
        <v>24</v>
      </c>
      <c r="G80" s="3" t="s">
        <v>25</v>
      </c>
      <c r="H80" s="3" t="s">
        <v>30</v>
      </c>
      <c r="I80" s="3" t="s">
        <v>25</v>
      </c>
      <c r="J80" s="3" t="s">
        <v>30</v>
      </c>
      <c r="K80" s="3" t="s">
        <v>25</v>
      </c>
      <c r="L80" s="5">
        <v>240.0</v>
      </c>
      <c r="M80" s="5">
        <v>326.0</v>
      </c>
      <c r="N80" s="5">
        <v>305.0</v>
      </c>
      <c r="O80" s="5">
        <v>871.0</v>
      </c>
      <c r="P80" s="6">
        <v>44723.0</v>
      </c>
      <c r="Q80" s="3" t="s">
        <v>30</v>
      </c>
      <c r="R80" s="3" t="s">
        <v>25</v>
      </c>
      <c r="S80" s="5">
        <v>1403752.0</v>
      </c>
      <c r="T80" s="3"/>
      <c r="U80" s="3"/>
      <c r="V80" s="3"/>
      <c r="W80" s="3"/>
      <c r="X80" s="3"/>
    </row>
    <row r="81">
      <c r="A81" s="3" t="s">
        <v>199</v>
      </c>
      <c r="B81" s="3" t="s">
        <v>200</v>
      </c>
      <c r="C81" s="3" t="s">
        <v>21</v>
      </c>
      <c r="D81" s="3" t="s">
        <v>59</v>
      </c>
      <c r="E81" s="3" t="s">
        <v>157</v>
      </c>
      <c r="F81" s="3" t="s">
        <v>24</v>
      </c>
      <c r="G81" s="3" t="s">
        <v>25</v>
      </c>
      <c r="H81" s="3" t="s">
        <v>30</v>
      </c>
      <c r="I81" s="3" t="s">
        <v>25</v>
      </c>
      <c r="J81" s="3" t="s">
        <v>30</v>
      </c>
      <c r="K81" s="3" t="s">
        <v>25</v>
      </c>
      <c r="L81" s="5">
        <v>235.0</v>
      </c>
      <c r="M81" s="5">
        <v>323.0</v>
      </c>
      <c r="N81" s="5">
        <v>305.0</v>
      </c>
      <c r="O81" s="5">
        <v>863.0</v>
      </c>
      <c r="P81" s="6">
        <v>44667.0</v>
      </c>
      <c r="Q81" s="3" t="s">
        <v>30</v>
      </c>
      <c r="R81" s="3" t="s">
        <v>25</v>
      </c>
      <c r="S81" s="5">
        <v>1273636.0</v>
      </c>
      <c r="T81" s="3"/>
      <c r="U81" s="3"/>
      <c r="V81" s="3"/>
      <c r="W81" s="3"/>
      <c r="X81" s="3"/>
    </row>
    <row r="82">
      <c r="A82" s="3" t="s">
        <v>201</v>
      </c>
      <c r="B82" s="3" t="s">
        <v>202</v>
      </c>
      <c r="C82" s="3" t="s">
        <v>203</v>
      </c>
      <c r="D82" s="3" t="s">
        <v>59</v>
      </c>
      <c r="E82" s="3" t="s">
        <v>157</v>
      </c>
      <c r="F82" s="3" t="s">
        <v>24</v>
      </c>
      <c r="G82" s="3" t="s">
        <v>25</v>
      </c>
      <c r="H82" s="3" t="s">
        <v>24</v>
      </c>
      <c r="I82" s="3" t="s">
        <v>25</v>
      </c>
      <c r="J82" s="3" t="s">
        <v>30</v>
      </c>
      <c r="K82" s="3" t="s">
        <v>25</v>
      </c>
      <c r="L82" s="5">
        <v>250.0</v>
      </c>
      <c r="M82" s="5">
        <v>296.0</v>
      </c>
      <c r="N82" s="5">
        <v>305.0</v>
      </c>
      <c r="O82" s="5">
        <v>851.0</v>
      </c>
      <c r="P82" s="6">
        <v>44667.0</v>
      </c>
      <c r="Q82" s="3" t="s">
        <v>30</v>
      </c>
      <c r="R82" s="3" t="s">
        <v>25</v>
      </c>
      <c r="S82" s="5">
        <v>1651625.0</v>
      </c>
      <c r="T82" s="3"/>
      <c r="U82" s="3"/>
      <c r="V82" s="3"/>
      <c r="W82" s="3"/>
      <c r="X82" s="3"/>
    </row>
    <row r="83">
      <c r="A83" s="3" t="s">
        <v>204</v>
      </c>
      <c r="B83" s="3" t="s">
        <v>205</v>
      </c>
      <c r="C83" s="3" t="s">
        <v>21</v>
      </c>
      <c r="D83" s="3" t="s">
        <v>59</v>
      </c>
      <c r="E83" s="3" t="s">
        <v>157</v>
      </c>
      <c r="F83" s="3" t="s">
        <v>24</v>
      </c>
      <c r="G83" s="3" t="s">
        <v>25</v>
      </c>
      <c r="H83" s="3" t="s">
        <v>30</v>
      </c>
      <c r="I83" s="3" t="s">
        <v>25</v>
      </c>
      <c r="J83" s="3" t="s">
        <v>30</v>
      </c>
      <c r="K83" s="3" t="s">
        <v>25</v>
      </c>
      <c r="L83" s="5">
        <v>230.0</v>
      </c>
      <c r="M83" s="5">
        <v>307.0</v>
      </c>
      <c r="N83" s="5">
        <v>310.0</v>
      </c>
      <c r="O83" s="5">
        <v>847.0</v>
      </c>
      <c r="P83" s="6">
        <v>44667.0</v>
      </c>
      <c r="Q83" s="3" t="s">
        <v>30</v>
      </c>
      <c r="R83" s="3" t="s">
        <v>25</v>
      </c>
      <c r="S83" s="5">
        <v>1008848.0</v>
      </c>
      <c r="T83" s="3"/>
      <c r="U83" s="3"/>
      <c r="V83" s="3"/>
      <c r="W83" s="3"/>
      <c r="X83" s="3"/>
    </row>
    <row r="84">
      <c r="A84" s="3" t="s">
        <v>206</v>
      </c>
      <c r="B84" s="3" t="s">
        <v>207</v>
      </c>
      <c r="C84" s="3" t="s">
        <v>21</v>
      </c>
      <c r="D84" s="3" t="s">
        <v>59</v>
      </c>
      <c r="E84" s="3" t="s">
        <v>157</v>
      </c>
      <c r="F84" s="3" t="s">
        <v>24</v>
      </c>
      <c r="G84" s="3" t="s">
        <v>25</v>
      </c>
      <c r="H84" s="3" t="s">
        <v>30</v>
      </c>
      <c r="I84" s="3" t="s">
        <v>25</v>
      </c>
      <c r="J84" s="3" t="s">
        <v>30</v>
      </c>
      <c r="K84" s="3" t="s">
        <v>25</v>
      </c>
      <c r="L84" s="5">
        <v>235.0</v>
      </c>
      <c r="M84" s="5">
        <v>301.0</v>
      </c>
      <c r="N84" s="5">
        <v>305.0</v>
      </c>
      <c r="O84" s="5">
        <v>841.0</v>
      </c>
      <c r="P84" s="6">
        <v>44723.0</v>
      </c>
      <c r="Q84" s="3" t="s">
        <v>30</v>
      </c>
      <c r="R84" s="3" t="s">
        <v>25</v>
      </c>
      <c r="S84" s="5">
        <v>1736243.0</v>
      </c>
      <c r="T84" s="3"/>
      <c r="U84" s="3"/>
      <c r="V84" s="3"/>
      <c r="W84" s="3"/>
      <c r="X84" s="3"/>
    </row>
    <row r="85">
      <c r="A85" s="3" t="s">
        <v>208</v>
      </c>
      <c r="B85" s="3" t="s">
        <v>209</v>
      </c>
      <c r="C85" s="3" t="s">
        <v>21</v>
      </c>
      <c r="D85" s="3" t="s">
        <v>59</v>
      </c>
      <c r="E85" s="3" t="s">
        <v>157</v>
      </c>
      <c r="F85" s="3" t="s">
        <v>24</v>
      </c>
      <c r="G85" s="3" t="s">
        <v>25</v>
      </c>
      <c r="H85" s="3" t="s">
        <v>24</v>
      </c>
      <c r="I85" s="3" t="s">
        <v>25</v>
      </c>
      <c r="J85" s="3" t="s">
        <v>30</v>
      </c>
      <c r="K85" s="3" t="s">
        <v>25</v>
      </c>
      <c r="L85" s="5">
        <v>290.0</v>
      </c>
      <c r="M85" s="5">
        <v>245.0</v>
      </c>
      <c r="N85" s="5">
        <v>300.0</v>
      </c>
      <c r="O85" s="5">
        <v>835.0</v>
      </c>
      <c r="P85" s="6">
        <v>44667.0</v>
      </c>
      <c r="Q85" s="3" t="s">
        <v>30</v>
      </c>
      <c r="R85" s="3" t="s">
        <v>25</v>
      </c>
      <c r="S85" s="5">
        <v>1098972.0</v>
      </c>
      <c r="T85" s="3"/>
      <c r="U85" s="3"/>
      <c r="V85" s="3"/>
      <c r="W85" s="3"/>
      <c r="X85" s="3"/>
    </row>
    <row r="86">
      <c r="A86" s="3" t="s">
        <v>210</v>
      </c>
      <c r="B86" s="3" t="s">
        <v>211</v>
      </c>
      <c r="C86" s="3" t="s">
        <v>21</v>
      </c>
      <c r="D86" s="3" t="s">
        <v>59</v>
      </c>
      <c r="E86" s="3" t="s">
        <v>157</v>
      </c>
      <c r="F86" s="3" t="s">
        <v>30</v>
      </c>
      <c r="G86" s="3" t="s">
        <v>25</v>
      </c>
      <c r="H86" s="3" t="s">
        <v>24</v>
      </c>
      <c r="I86" s="3" t="s">
        <v>25</v>
      </c>
      <c r="J86" s="3" t="s">
        <v>24</v>
      </c>
      <c r="K86" s="3" t="s">
        <v>25</v>
      </c>
      <c r="L86" s="5">
        <v>320.0</v>
      </c>
      <c r="M86" s="5">
        <v>221.0</v>
      </c>
      <c r="N86" s="5">
        <v>285.0</v>
      </c>
      <c r="O86" s="5">
        <v>826.0</v>
      </c>
      <c r="P86" s="6">
        <v>44723.0</v>
      </c>
      <c r="Q86" s="3" t="s">
        <v>30</v>
      </c>
      <c r="R86" s="3" t="s">
        <v>25</v>
      </c>
      <c r="S86" s="5">
        <v>1811764.0</v>
      </c>
      <c r="T86" s="3"/>
      <c r="U86" s="3"/>
      <c r="V86" s="3"/>
      <c r="W86" s="3"/>
      <c r="X86" s="3"/>
    </row>
    <row r="87">
      <c r="A87" s="3" t="s">
        <v>212</v>
      </c>
      <c r="B87" s="3" t="s">
        <v>213</v>
      </c>
      <c r="C87" s="3" t="s">
        <v>21</v>
      </c>
      <c r="D87" s="3" t="s">
        <v>59</v>
      </c>
      <c r="E87" s="3" t="s">
        <v>157</v>
      </c>
      <c r="F87" s="3" t="s">
        <v>24</v>
      </c>
      <c r="G87" s="3" t="s">
        <v>25</v>
      </c>
      <c r="H87" s="3" t="s">
        <v>24</v>
      </c>
      <c r="I87" s="3" t="s">
        <v>25</v>
      </c>
      <c r="J87" s="3" t="s">
        <v>30</v>
      </c>
      <c r="K87" s="3" t="s">
        <v>25</v>
      </c>
      <c r="L87" s="5">
        <v>240.0</v>
      </c>
      <c r="M87" s="5">
        <v>264.0</v>
      </c>
      <c r="N87" s="5">
        <v>320.0</v>
      </c>
      <c r="O87" s="5">
        <v>824.0</v>
      </c>
      <c r="P87" s="6">
        <v>44667.0</v>
      </c>
      <c r="Q87" s="3" t="s">
        <v>30</v>
      </c>
      <c r="R87" s="3" t="s">
        <v>25</v>
      </c>
      <c r="S87" s="5">
        <v>1368514.0</v>
      </c>
      <c r="T87" s="3"/>
      <c r="U87" s="3"/>
      <c r="V87" s="3"/>
      <c r="W87" s="3"/>
      <c r="X87" s="3"/>
    </row>
    <row r="88">
      <c r="A88" s="3" t="s">
        <v>214</v>
      </c>
      <c r="B88" s="3" t="s">
        <v>215</v>
      </c>
      <c r="C88" s="3" t="s">
        <v>21</v>
      </c>
      <c r="D88" s="3" t="s">
        <v>59</v>
      </c>
      <c r="E88" s="3" t="s">
        <v>157</v>
      </c>
      <c r="F88" s="3" t="s">
        <v>24</v>
      </c>
      <c r="G88" s="3" t="s">
        <v>25</v>
      </c>
      <c r="H88" s="3" t="s">
        <v>30</v>
      </c>
      <c r="I88" s="3" t="s">
        <v>25</v>
      </c>
      <c r="J88" s="3" t="s">
        <v>30</v>
      </c>
      <c r="K88" s="3" t="s">
        <v>25</v>
      </c>
      <c r="L88" s="5">
        <v>205.0</v>
      </c>
      <c r="M88" s="5">
        <v>306.0</v>
      </c>
      <c r="N88" s="5">
        <v>310.0</v>
      </c>
      <c r="O88" s="5">
        <v>821.0</v>
      </c>
      <c r="P88" s="6">
        <v>44667.0</v>
      </c>
      <c r="Q88" s="3" t="s">
        <v>30</v>
      </c>
      <c r="R88" s="3" t="s">
        <v>25</v>
      </c>
      <c r="S88" s="5">
        <v>318306.0</v>
      </c>
      <c r="T88" s="3"/>
      <c r="U88" s="3"/>
      <c r="V88" s="3"/>
      <c r="W88" s="3"/>
      <c r="X88" s="3"/>
    </row>
    <row r="89">
      <c r="A89" s="3" t="s">
        <v>216</v>
      </c>
      <c r="B89" s="3" t="s">
        <v>217</v>
      </c>
      <c r="C89" s="3" t="s">
        <v>21</v>
      </c>
      <c r="D89" s="3" t="s">
        <v>59</v>
      </c>
      <c r="E89" s="3" t="s">
        <v>157</v>
      </c>
      <c r="F89" s="3" t="s">
        <v>24</v>
      </c>
      <c r="G89" s="3" t="s">
        <v>25</v>
      </c>
      <c r="H89" s="3" t="s">
        <v>30</v>
      </c>
      <c r="I89" s="3" t="s">
        <v>25</v>
      </c>
      <c r="J89" s="3" t="s">
        <v>24</v>
      </c>
      <c r="K89" s="3" t="s">
        <v>25</v>
      </c>
      <c r="L89" s="5">
        <v>262.0</v>
      </c>
      <c r="M89" s="5">
        <v>321.0</v>
      </c>
      <c r="N89" s="5">
        <v>235.0</v>
      </c>
      <c r="O89" s="5">
        <v>818.0</v>
      </c>
      <c r="P89" s="6">
        <v>44667.0</v>
      </c>
      <c r="Q89" s="3" t="s">
        <v>30</v>
      </c>
      <c r="R89" s="3" t="s">
        <v>25</v>
      </c>
      <c r="S89" s="5">
        <v>1501756.0</v>
      </c>
      <c r="T89" s="3"/>
      <c r="U89" s="3"/>
      <c r="V89" s="3"/>
      <c r="W89" s="3"/>
      <c r="X89" s="3"/>
    </row>
    <row r="90">
      <c r="A90" s="3" t="s">
        <v>218</v>
      </c>
      <c r="B90" s="3" t="s">
        <v>219</v>
      </c>
      <c r="C90" s="3" t="s">
        <v>21</v>
      </c>
      <c r="D90" s="3" t="s">
        <v>59</v>
      </c>
      <c r="E90" s="3" t="s">
        <v>157</v>
      </c>
      <c r="F90" s="3" t="s">
        <v>24</v>
      </c>
      <c r="G90" s="3" t="s">
        <v>25</v>
      </c>
      <c r="H90" s="3" t="s">
        <v>24</v>
      </c>
      <c r="I90" s="3" t="s">
        <v>25</v>
      </c>
      <c r="J90" s="3" t="s">
        <v>30</v>
      </c>
      <c r="K90" s="3" t="s">
        <v>25</v>
      </c>
      <c r="L90" s="5">
        <v>240.0</v>
      </c>
      <c r="M90" s="5">
        <v>277.0</v>
      </c>
      <c r="N90" s="5">
        <v>300.0</v>
      </c>
      <c r="O90" s="5">
        <v>817.0</v>
      </c>
      <c r="P90" s="6">
        <v>44722.0</v>
      </c>
      <c r="Q90" s="3" t="s">
        <v>30</v>
      </c>
      <c r="R90" s="3" t="s">
        <v>25</v>
      </c>
      <c r="S90" s="5">
        <v>1653087.0</v>
      </c>
      <c r="T90" s="3"/>
      <c r="U90" s="3"/>
      <c r="V90" s="3"/>
      <c r="W90" s="3"/>
      <c r="X90" s="3"/>
    </row>
    <row r="91">
      <c r="A91" s="3" t="s">
        <v>220</v>
      </c>
      <c r="B91" s="3" t="s">
        <v>221</v>
      </c>
      <c r="C91" s="3" t="s">
        <v>21</v>
      </c>
      <c r="D91" s="3" t="s">
        <v>59</v>
      </c>
      <c r="E91" s="3" t="s">
        <v>157</v>
      </c>
      <c r="F91" s="3" t="s">
        <v>24</v>
      </c>
      <c r="G91" s="3" t="s">
        <v>25</v>
      </c>
      <c r="H91" s="3" t="s">
        <v>24</v>
      </c>
      <c r="I91" s="3" t="s">
        <v>25</v>
      </c>
      <c r="J91" s="3" t="s">
        <v>24</v>
      </c>
      <c r="K91" s="3" t="s">
        <v>25</v>
      </c>
      <c r="L91" s="5">
        <v>230.0</v>
      </c>
      <c r="M91" s="5">
        <v>288.0</v>
      </c>
      <c r="N91" s="5">
        <v>285.0</v>
      </c>
      <c r="O91" s="5">
        <v>803.0</v>
      </c>
      <c r="P91" s="6">
        <v>44722.0</v>
      </c>
      <c r="Q91" s="3" t="s">
        <v>30</v>
      </c>
      <c r="R91" s="3" t="s">
        <v>25</v>
      </c>
      <c r="S91" s="5">
        <v>1830749.0</v>
      </c>
      <c r="T91" s="3"/>
      <c r="U91" s="3"/>
      <c r="V91" s="3"/>
      <c r="W91" s="3"/>
      <c r="X91" s="3"/>
    </row>
    <row r="92">
      <c r="A92" s="3" t="s">
        <v>222</v>
      </c>
      <c r="B92" s="3" t="s">
        <v>223</v>
      </c>
      <c r="C92" s="3" t="s">
        <v>21</v>
      </c>
      <c r="D92" s="3" t="s">
        <v>59</v>
      </c>
      <c r="E92" s="3" t="s">
        <v>157</v>
      </c>
      <c r="F92" s="3" t="s">
        <v>24</v>
      </c>
      <c r="G92" s="3" t="s">
        <v>25</v>
      </c>
      <c r="H92" s="3" t="s">
        <v>24</v>
      </c>
      <c r="I92" s="3" t="s">
        <v>25</v>
      </c>
      <c r="J92" s="3" t="s">
        <v>30</v>
      </c>
      <c r="K92" s="3" t="s">
        <v>25</v>
      </c>
      <c r="L92" s="5">
        <v>250.0</v>
      </c>
      <c r="M92" s="5">
        <v>246.0</v>
      </c>
      <c r="N92" s="5">
        <v>305.0</v>
      </c>
      <c r="O92" s="5">
        <v>801.0</v>
      </c>
      <c r="P92" s="6">
        <v>44722.0</v>
      </c>
      <c r="Q92" s="3" t="s">
        <v>30</v>
      </c>
      <c r="R92" s="3" t="s">
        <v>25</v>
      </c>
      <c r="S92" s="5">
        <v>1744659.0</v>
      </c>
      <c r="T92" s="3"/>
      <c r="U92" s="3"/>
      <c r="V92" s="3"/>
      <c r="W92" s="3"/>
      <c r="X92" s="3"/>
    </row>
    <row r="93">
      <c r="A93" s="3" t="s">
        <v>224</v>
      </c>
      <c r="B93" s="3" t="s">
        <v>225</v>
      </c>
      <c r="C93" s="3" t="s">
        <v>21</v>
      </c>
      <c r="D93" s="3" t="s">
        <v>59</v>
      </c>
      <c r="E93" s="3" t="s">
        <v>157</v>
      </c>
      <c r="F93" s="3" t="s">
        <v>24</v>
      </c>
      <c r="G93" s="3" t="s">
        <v>25</v>
      </c>
      <c r="H93" s="3" t="s">
        <v>24</v>
      </c>
      <c r="I93" s="3" t="s">
        <v>25</v>
      </c>
      <c r="J93" s="3" t="s">
        <v>30</v>
      </c>
      <c r="K93" s="3" t="s">
        <v>25</v>
      </c>
      <c r="L93" s="5">
        <v>233.0</v>
      </c>
      <c r="M93" s="5">
        <v>259.0</v>
      </c>
      <c r="N93" s="5">
        <v>300.0</v>
      </c>
      <c r="O93" s="5">
        <v>792.0</v>
      </c>
      <c r="P93" s="6">
        <v>44873.0</v>
      </c>
      <c r="Q93" s="3" t="s">
        <v>30</v>
      </c>
      <c r="R93" s="3" t="s">
        <v>25</v>
      </c>
      <c r="S93" s="5">
        <v>1082554.0</v>
      </c>
      <c r="T93" s="3"/>
      <c r="U93" s="3"/>
      <c r="V93" s="3"/>
      <c r="W93" s="3"/>
      <c r="X93" s="3"/>
    </row>
    <row r="94">
      <c r="A94" s="3" t="s">
        <v>226</v>
      </c>
      <c r="B94" s="3" t="s">
        <v>227</v>
      </c>
      <c r="C94" s="3" t="s">
        <v>21</v>
      </c>
      <c r="D94" s="3" t="s">
        <v>59</v>
      </c>
      <c r="E94" s="3" t="s">
        <v>157</v>
      </c>
      <c r="F94" s="3" t="s">
        <v>24</v>
      </c>
      <c r="G94" s="3" t="s">
        <v>25</v>
      </c>
      <c r="H94" s="3" t="s">
        <v>24</v>
      </c>
      <c r="I94" s="3" t="s">
        <v>25</v>
      </c>
      <c r="J94" s="3" t="s">
        <v>30</v>
      </c>
      <c r="K94" s="3" t="s">
        <v>25</v>
      </c>
      <c r="L94" s="5">
        <v>200.0</v>
      </c>
      <c r="M94" s="5">
        <v>273.0</v>
      </c>
      <c r="N94" s="5">
        <v>300.0</v>
      </c>
      <c r="O94" s="5">
        <v>773.0</v>
      </c>
      <c r="P94" s="6">
        <v>44722.0</v>
      </c>
      <c r="Q94" s="3" t="s">
        <v>30</v>
      </c>
      <c r="R94" s="3" t="s">
        <v>25</v>
      </c>
      <c r="S94" s="5">
        <v>1564824.0</v>
      </c>
      <c r="T94" s="3"/>
      <c r="U94" s="3"/>
      <c r="V94" s="3"/>
      <c r="W94" s="3"/>
      <c r="X94" s="3"/>
    </row>
    <row r="95">
      <c r="A95" s="3" t="s">
        <v>228</v>
      </c>
      <c r="B95" s="3" t="s">
        <v>229</v>
      </c>
      <c r="C95" s="3" t="s">
        <v>21</v>
      </c>
      <c r="D95" s="3" t="s">
        <v>59</v>
      </c>
      <c r="E95" s="3" t="s">
        <v>157</v>
      </c>
      <c r="F95" s="3" t="s">
        <v>24</v>
      </c>
      <c r="G95" s="3" t="s">
        <v>25</v>
      </c>
      <c r="H95" s="3" t="s">
        <v>24</v>
      </c>
      <c r="I95" s="3" t="s">
        <v>25</v>
      </c>
      <c r="J95" s="3" t="s">
        <v>30</v>
      </c>
      <c r="K95" s="3" t="s">
        <v>25</v>
      </c>
      <c r="L95" s="5">
        <v>255.0</v>
      </c>
      <c r="M95" s="5">
        <v>214.0</v>
      </c>
      <c r="N95" s="5">
        <v>300.0</v>
      </c>
      <c r="O95" s="5">
        <v>769.0</v>
      </c>
      <c r="P95" s="6">
        <v>44667.0</v>
      </c>
      <c r="Q95" s="3" t="s">
        <v>30</v>
      </c>
      <c r="R95" s="3" t="s">
        <v>25</v>
      </c>
      <c r="S95" s="5">
        <v>749647.0</v>
      </c>
      <c r="T95" s="3"/>
      <c r="U95" s="3"/>
      <c r="V95" s="3"/>
      <c r="W95" s="3"/>
      <c r="X95" s="3"/>
    </row>
    <row r="96">
      <c r="A96" s="3" t="s">
        <v>230</v>
      </c>
      <c r="B96" s="3" t="s">
        <v>231</v>
      </c>
      <c r="C96" s="3" t="s">
        <v>21</v>
      </c>
      <c r="D96" s="3" t="s">
        <v>59</v>
      </c>
      <c r="E96" s="3" t="s">
        <v>157</v>
      </c>
      <c r="F96" s="3" t="s">
        <v>24</v>
      </c>
      <c r="G96" s="3" t="s">
        <v>25</v>
      </c>
      <c r="H96" s="3" t="s">
        <v>24</v>
      </c>
      <c r="I96" s="3" t="s">
        <v>25</v>
      </c>
      <c r="J96" s="3" t="s">
        <v>30</v>
      </c>
      <c r="K96" s="3" t="s">
        <v>25</v>
      </c>
      <c r="L96" s="5">
        <v>230.0</v>
      </c>
      <c r="M96" s="5">
        <v>230.0</v>
      </c>
      <c r="N96" s="5">
        <v>305.0</v>
      </c>
      <c r="O96" s="5">
        <v>765.0</v>
      </c>
      <c r="P96" s="6">
        <v>44667.0</v>
      </c>
      <c r="Q96" s="3" t="s">
        <v>30</v>
      </c>
      <c r="R96" s="3" t="s">
        <v>25</v>
      </c>
      <c r="S96" s="5">
        <v>1070494.0</v>
      </c>
      <c r="T96" s="3"/>
      <c r="U96" s="3"/>
      <c r="V96" s="3"/>
      <c r="W96" s="3"/>
      <c r="X96" s="3"/>
    </row>
    <row r="97">
      <c r="A97" s="3" t="s">
        <v>232</v>
      </c>
      <c r="B97" s="3" t="s">
        <v>233</v>
      </c>
      <c r="C97" s="3" t="s">
        <v>21</v>
      </c>
      <c r="D97" s="3" t="s">
        <v>59</v>
      </c>
      <c r="E97" s="3" t="s">
        <v>157</v>
      </c>
      <c r="F97" s="3" t="s">
        <v>24</v>
      </c>
      <c r="G97" s="3" t="s">
        <v>25</v>
      </c>
      <c r="H97" s="3" t="s">
        <v>24</v>
      </c>
      <c r="I97" s="3" t="s">
        <v>25</v>
      </c>
      <c r="J97" s="3" t="s">
        <v>24</v>
      </c>
      <c r="K97" s="3" t="s">
        <v>25</v>
      </c>
      <c r="L97" s="5">
        <v>210.0</v>
      </c>
      <c r="M97" s="5">
        <v>251.0</v>
      </c>
      <c r="N97" s="5">
        <v>290.0</v>
      </c>
      <c r="O97" s="5">
        <v>751.0</v>
      </c>
      <c r="P97" s="6">
        <v>44722.0</v>
      </c>
      <c r="Q97" s="3" t="s">
        <v>30</v>
      </c>
      <c r="R97" s="3" t="s">
        <v>25</v>
      </c>
      <c r="S97" s="5">
        <v>1668243.0</v>
      </c>
      <c r="T97" s="3"/>
      <c r="U97" s="3"/>
      <c r="V97" s="3"/>
      <c r="W97" s="3"/>
      <c r="X97" s="3"/>
    </row>
    <row r="98">
      <c r="A98" s="3" t="s">
        <v>234</v>
      </c>
      <c r="B98" s="3" t="s">
        <v>235</v>
      </c>
      <c r="C98" s="3" t="s">
        <v>21</v>
      </c>
      <c r="D98" s="3" t="s">
        <v>59</v>
      </c>
      <c r="E98" s="3" t="s">
        <v>157</v>
      </c>
      <c r="F98" s="3" t="s">
        <v>24</v>
      </c>
      <c r="G98" s="3" t="s">
        <v>25</v>
      </c>
      <c r="H98" s="3" t="s">
        <v>24</v>
      </c>
      <c r="I98" s="3" t="s">
        <v>25</v>
      </c>
      <c r="J98" s="3" t="s">
        <v>30</v>
      </c>
      <c r="K98" s="3" t="s">
        <v>25</v>
      </c>
      <c r="L98" s="5">
        <v>210.0</v>
      </c>
      <c r="M98" s="5">
        <v>207.0</v>
      </c>
      <c r="N98" s="5">
        <v>330.0</v>
      </c>
      <c r="O98" s="5">
        <v>747.0</v>
      </c>
      <c r="P98" s="6">
        <v>44722.0</v>
      </c>
      <c r="Q98" s="3" t="s">
        <v>24</v>
      </c>
      <c r="R98" s="3" t="s">
        <v>25</v>
      </c>
      <c r="S98" s="5">
        <v>1634379.0</v>
      </c>
      <c r="T98" s="3"/>
      <c r="U98" s="3"/>
      <c r="V98" s="3"/>
      <c r="W98" s="3"/>
      <c r="X98" s="3"/>
    </row>
    <row r="99">
      <c r="A99" s="3" t="s">
        <v>236</v>
      </c>
      <c r="B99" s="3" t="s">
        <v>237</v>
      </c>
      <c r="C99" s="3" t="s">
        <v>21</v>
      </c>
      <c r="D99" s="3" t="s">
        <v>59</v>
      </c>
      <c r="E99" s="3" t="s">
        <v>157</v>
      </c>
      <c r="F99" s="3" t="s">
        <v>24</v>
      </c>
      <c r="G99" s="3" t="s">
        <v>25</v>
      </c>
      <c r="H99" s="3" t="s">
        <v>24</v>
      </c>
      <c r="I99" s="3" t="s">
        <v>25</v>
      </c>
      <c r="J99" s="3" t="s">
        <v>30</v>
      </c>
      <c r="K99" s="3" t="s">
        <v>25</v>
      </c>
      <c r="L99" s="5">
        <v>203.0</v>
      </c>
      <c r="M99" s="5">
        <v>204.0</v>
      </c>
      <c r="N99" s="5">
        <v>338.0</v>
      </c>
      <c r="O99" s="5">
        <v>745.0</v>
      </c>
      <c r="P99" s="6">
        <v>44667.0</v>
      </c>
      <c r="Q99" s="3" t="s">
        <v>24</v>
      </c>
      <c r="R99" s="3" t="s">
        <v>25</v>
      </c>
      <c r="S99" s="5">
        <v>1447028.0</v>
      </c>
      <c r="T99" s="3"/>
      <c r="U99" s="3"/>
      <c r="V99" s="3"/>
      <c r="W99" s="3"/>
      <c r="X99" s="3"/>
    </row>
    <row r="100">
      <c r="A100" s="3" t="s">
        <v>238</v>
      </c>
      <c r="B100" s="3" t="s">
        <v>239</v>
      </c>
      <c r="C100" s="3" t="s">
        <v>21</v>
      </c>
      <c r="D100" s="3" t="s">
        <v>59</v>
      </c>
      <c r="E100" s="3" t="s">
        <v>157</v>
      </c>
      <c r="F100" s="3" t="s">
        <v>24</v>
      </c>
      <c r="G100" s="3" t="s">
        <v>25</v>
      </c>
      <c r="H100" s="3" t="s">
        <v>24</v>
      </c>
      <c r="I100" s="3" t="s">
        <v>25</v>
      </c>
      <c r="J100" s="3" t="s">
        <v>30</v>
      </c>
      <c r="K100" s="3" t="s">
        <v>25</v>
      </c>
      <c r="L100" s="5">
        <v>215.0</v>
      </c>
      <c r="M100" s="5">
        <v>222.0</v>
      </c>
      <c r="N100" s="5">
        <v>305.0</v>
      </c>
      <c r="O100" s="5">
        <v>742.0</v>
      </c>
      <c r="P100" s="6">
        <v>44722.0</v>
      </c>
      <c r="Q100" s="3" t="s">
        <v>24</v>
      </c>
      <c r="R100" s="3" t="s">
        <v>25</v>
      </c>
      <c r="S100" s="5">
        <v>949858.0</v>
      </c>
      <c r="T100" s="3"/>
      <c r="U100" s="3"/>
      <c r="V100" s="3"/>
      <c r="W100" s="3"/>
      <c r="X100" s="3"/>
    </row>
    <row r="101">
      <c r="A101" s="3" t="s">
        <v>240</v>
      </c>
      <c r="B101" s="3" t="s">
        <v>241</v>
      </c>
      <c r="C101" s="3" t="s">
        <v>21</v>
      </c>
      <c r="D101" s="3" t="s">
        <v>59</v>
      </c>
      <c r="E101" s="3" t="s">
        <v>157</v>
      </c>
      <c r="F101" s="3" t="s">
        <v>24</v>
      </c>
      <c r="G101" s="3" t="s">
        <v>25</v>
      </c>
      <c r="H101" s="3" t="s">
        <v>24</v>
      </c>
      <c r="I101" s="3" t="s">
        <v>25</v>
      </c>
      <c r="J101" s="3" t="s">
        <v>30</v>
      </c>
      <c r="K101" s="3" t="s">
        <v>25</v>
      </c>
      <c r="L101" s="5">
        <v>210.0</v>
      </c>
      <c r="M101" s="5">
        <v>224.0</v>
      </c>
      <c r="N101" s="5">
        <v>305.0</v>
      </c>
      <c r="O101" s="5">
        <v>739.0</v>
      </c>
      <c r="P101" s="6">
        <v>44722.0</v>
      </c>
      <c r="Q101" s="3" t="s">
        <v>24</v>
      </c>
      <c r="R101" s="3" t="s">
        <v>25</v>
      </c>
      <c r="S101" s="5">
        <v>1726711.0</v>
      </c>
      <c r="T101" s="3"/>
      <c r="U101" s="3"/>
      <c r="V101" s="3"/>
      <c r="W101" s="3"/>
      <c r="X101" s="3"/>
    </row>
    <row r="102">
      <c r="A102" s="3" t="s">
        <v>242</v>
      </c>
      <c r="B102" s="3" t="s">
        <v>243</v>
      </c>
      <c r="C102" s="3" t="s">
        <v>21</v>
      </c>
      <c r="D102" s="3" t="s">
        <v>59</v>
      </c>
      <c r="E102" s="3" t="s">
        <v>157</v>
      </c>
      <c r="F102" s="3" t="s">
        <v>24</v>
      </c>
      <c r="G102" s="3" t="s">
        <v>25</v>
      </c>
      <c r="H102" s="3" t="s">
        <v>24</v>
      </c>
      <c r="I102" s="3" t="s">
        <v>25</v>
      </c>
      <c r="J102" s="3" t="s">
        <v>30</v>
      </c>
      <c r="K102" s="3" t="s">
        <v>25</v>
      </c>
      <c r="L102" s="5">
        <v>225.0</v>
      </c>
      <c r="M102" s="5">
        <v>212.0</v>
      </c>
      <c r="N102" s="5">
        <v>300.0</v>
      </c>
      <c r="O102" s="5">
        <v>737.0</v>
      </c>
      <c r="P102" s="6">
        <v>44667.0</v>
      </c>
      <c r="Q102" s="3" t="s">
        <v>24</v>
      </c>
      <c r="R102" s="3" t="s">
        <v>25</v>
      </c>
      <c r="S102" s="5">
        <v>1466301.0</v>
      </c>
      <c r="T102" s="3"/>
      <c r="U102" s="3"/>
      <c r="V102" s="3"/>
      <c r="W102" s="3"/>
      <c r="X102" s="3"/>
    </row>
    <row r="103">
      <c r="A103" s="3" t="s">
        <v>244</v>
      </c>
      <c r="B103" s="3" t="s">
        <v>245</v>
      </c>
      <c r="C103" s="3" t="s">
        <v>21</v>
      </c>
      <c r="D103" s="3" t="s">
        <v>59</v>
      </c>
      <c r="E103" s="3" t="s">
        <v>157</v>
      </c>
      <c r="F103" s="3" t="s">
        <v>24</v>
      </c>
      <c r="G103" s="3" t="s">
        <v>25</v>
      </c>
      <c r="H103" s="3" t="s">
        <v>24</v>
      </c>
      <c r="I103" s="3" t="s">
        <v>25</v>
      </c>
      <c r="J103" s="3" t="s">
        <v>30</v>
      </c>
      <c r="K103" s="3" t="s">
        <v>25</v>
      </c>
      <c r="L103" s="5">
        <v>215.0</v>
      </c>
      <c r="M103" s="5">
        <v>211.0</v>
      </c>
      <c r="N103" s="5">
        <v>305.0</v>
      </c>
      <c r="O103" s="5">
        <v>731.0</v>
      </c>
      <c r="P103" s="6">
        <v>44667.0</v>
      </c>
      <c r="Q103" s="3" t="s">
        <v>24</v>
      </c>
      <c r="R103" s="3" t="s">
        <v>25</v>
      </c>
      <c r="S103" s="5">
        <v>1720580.0</v>
      </c>
      <c r="T103" s="3"/>
      <c r="U103" s="3"/>
      <c r="V103" s="3"/>
      <c r="W103" s="3"/>
      <c r="X103" s="3"/>
    </row>
    <row r="104">
      <c r="A104" s="3" t="s">
        <v>246</v>
      </c>
      <c r="B104" s="3" t="s">
        <v>247</v>
      </c>
      <c r="C104" s="3" t="s">
        <v>21</v>
      </c>
      <c r="D104" s="3" t="s">
        <v>59</v>
      </c>
      <c r="E104" s="3" t="s">
        <v>157</v>
      </c>
      <c r="F104" s="3" t="s">
        <v>24</v>
      </c>
      <c r="G104" s="3" t="s">
        <v>25</v>
      </c>
      <c r="H104" s="3" t="s">
        <v>24</v>
      </c>
      <c r="I104" s="3" t="s">
        <v>25</v>
      </c>
      <c r="J104" s="3" t="s">
        <v>24</v>
      </c>
      <c r="K104" s="3" t="s">
        <v>25</v>
      </c>
      <c r="L104" s="5">
        <v>231.0</v>
      </c>
      <c r="M104" s="5">
        <v>261.0</v>
      </c>
      <c r="N104" s="5">
        <v>235.0</v>
      </c>
      <c r="O104" s="5">
        <v>727.0</v>
      </c>
      <c r="P104" s="6">
        <v>44667.0</v>
      </c>
      <c r="Q104" s="3" t="s">
        <v>24</v>
      </c>
      <c r="R104" s="3" t="s">
        <v>25</v>
      </c>
      <c r="S104" s="5">
        <v>1341235.0</v>
      </c>
      <c r="T104" s="3"/>
      <c r="U104" s="3"/>
      <c r="V104" s="3"/>
      <c r="W104" s="3"/>
      <c r="X104" s="3"/>
    </row>
    <row r="105">
      <c r="A105" s="3" t="s">
        <v>248</v>
      </c>
      <c r="B105" s="3" t="s">
        <v>249</v>
      </c>
      <c r="C105" s="3" t="s">
        <v>21</v>
      </c>
      <c r="D105" s="3" t="s">
        <v>59</v>
      </c>
      <c r="E105" s="3" t="s">
        <v>157</v>
      </c>
      <c r="F105" s="3" t="s">
        <v>24</v>
      </c>
      <c r="G105" s="3" t="s">
        <v>25</v>
      </c>
      <c r="H105" s="3" t="s">
        <v>24</v>
      </c>
      <c r="I105" s="3" t="s">
        <v>25</v>
      </c>
      <c r="J105" s="3" t="s">
        <v>30</v>
      </c>
      <c r="K105" s="3" t="s">
        <v>25</v>
      </c>
      <c r="L105" s="5">
        <v>220.0</v>
      </c>
      <c r="M105" s="5">
        <v>202.0</v>
      </c>
      <c r="N105" s="5">
        <v>300.0</v>
      </c>
      <c r="O105" s="5">
        <v>722.0</v>
      </c>
      <c r="P105" s="6">
        <v>44669.0</v>
      </c>
      <c r="Q105" s="3" t="s">
        <v>24</v>
      </c>
      <c r="R105" s="3" t="s">
        <v>25</v>
      </c>
      <c r="S105" s="5">
        <v>1157075.0</v>
      </c>
      <c r="T105" s="3"/>
      <c r="U105" s="3"/>
      <c r="V105" s="3"/>
      <c r="W105" s="3"/>
      <c r="X105" s="3"/>
    </row>
    <row r="106">
      <c r="A106" s="3" t="s">
        <v>250</v>
      </c>
      <c r="B106" s="3" t="s">
        <v>251</v>
      </c>
      <c r="C106" s="3" t="s">
        <v>21</v>
      </c>
      <c r="D106" s="3" t="s">
        <v>59</v>
      </c>
      <c r="E106" s="3" t="s">
        <v>157</v>
      </c>
      <c r="F106" s="3" t="s">
        <v>24</v>
      </c>
      <c r="G106" s="3" t="s">
        <v>25</v>
      </c>
      <c r="H106" s="3" t="s">
        <v>24</v>
      </c>
      <c r="I106" s="3" t="s">
        <v>25</v>
      </c>
      <c r="J106" s="3" t="s">
        <v>24</v>
      </c>
      <c r="K106" s="3" t="s">
        <v>25</v>
      </c>
      <c r="L106" s="5">
        <v>205.0</v>
      </c>
      <c r="M106" s="5">
        <v>221.0</v>
      </c>
      <c r="N106" s="5">
        <v>295.0</v>
      </c>
      <c r="O106" s="5">
        <v>721.0</v>
      </c>
      <c r="P106" s="6">
        <v>44722.0</v>
      </c>
      <c r="Q106" s="3" t="s">
        <v>24</v>
      </c>
      <c r="R106" s="3" t="s">
        <v>25</v>
      </c>
      <c r="S106" s="5">
        <v>1722271.0</v>
      </c>
      <c r="T106" s="3"/>
      <c r="U106" s="3"/>
      <c r="V106" s="3"/>
      <c r="W106" s="3"/>
      <c r="X106" s="3"/>
    </row>
    <row r="107">
      <c r="A107" s="3" t="s">
        <v>252</v>
      </c>
      <c r="B107" s="3" t="s">
        <v>253</v>
      </c>
      <c r="C107" s="3" t="s">
        <v>21</v>
      </c>
      <c r="D107" s="3" t="s">
        <v>59</v>
      </c>
      <c r="E107" s="3" t="s">
        <v>157</v>
      </c>
      <c r="F107" s="3" t="s">
        <v>24</v>
      </c>
      <c r="G107" s="3" t="s">
        <v>25</v>
      </c>
      <c r="H107" s="3" t="s">
        <v>24</v>
      </c>
      <c r="I107" s="3" t="s">
        <v>25</v>
      </c>
      <c r="J107" s="3" t="s">
        <v>24</v>
      </c>
      <c r="K107" s="3" t="s">
        <v>25</v>
      </c>
      <c r="L107" s="5">
        <v>200.0</v>
      </c>
      <c r="M107" s="5">
        <v>222.0</v>
      </c>
      <c r="N107" s="5">
        <v>290.0</v>
      </c>
      <c r="O107" s="5">
        <v>712.0</v>
      </c>
      <c r="P107" s="6">
        <v>44667.0</v>
      </c>
      <c r="Q107" s="3" t="s">
        <v>24</v>
      </c>
      <c r="R107" s="3" t="s">
        <v>25</v>
      </c>
      <c r="S107" s="5">
        <v>907654.0</v>
      </c>
      <c r="T107" s="3"/>
      <c r="U107" s="3"/>
      <c r="V107" s="3"/>
      <c r="W107" s="3"/>
      <c r="X107" s="3"/>
    </row>
    <row r="108">
      <c r="A108" s="3" t="s">
        <v>254</v>
      </c>
      <c r="B108" s="3" t="s">
        <v>255</v>
      </c>
      <c r="C108" s="3" t="s">
        <v>21</v>
      </c>
      <c r="D108" s="3" t="s">
        <v>59</v>
      </c>
      <c r="E108" s="3" t="s">
        <v>157</v>
      </c>
      <c r="F108" s="3" t="s">
        <v>24</v>
      </c>
      <c r="G108" s="3" t="s">
        <v>25</v>
      </c>
      <c r="H108" s="3" t="s">
        <v>24</v>
      </c>
      <c r="I108" s="3" t="s">
        <v>25</v>
      </c>
      <c r="J108" s="3" t="s">
        <v>24</v>
      </c>
      <c r="K108" s="3" t="s">
        <v>25</v>
      </c>
      <c r="L108" s="5">
        <v>210.0</v>
      </c>
      <c r="M108" s="5">
        <v>222.0</v>
      </c>
      <c r="N108" s="5">
        <v>235.0</v>
      </c>
      <c r="O108" s="5">
        <v>667.0</v>
      </c>
      <c r="P108" s="6">
        <v>44722.0</v>
      </c>
      <c r="Q108" s="3" t="s">
        <v>24</v>
      </c>
      <c r="R108" s="3" t="s">
        <v>25</v>
      </c>
      <c r="S108" s="5">
        <v>1799448.0</v>
      </c>
      <c r="T108" s="3"/>
      <c r="U108" s="3"/>
      <c r="V108" s="3"/>
      <c r="W108" s="3"/>
      <c r="X108" s="3"/>
    </row>
    <row r="109">
      <c r="A109" s="3" t="s">
        <v>256</v>
      </c>
      <c r="B109" s="3" t="s">
        <v>257</v>
      </c>
      <c r="C109" s="3" t="s">
        <v>21</v>
      </c>
      <c r="D109" s="3" t="s">
        <v>59</v>
      </c>
      <c r="E109" s="3" t="s">
        <v>157</v>
      </c>
      <c r="F109" s="3" t="s">
        <v>24</v>
      </c>
      <c r="G109" s="3" t="s">
        <v>25</v>
      </c>
      <c r="H109" s="3" t="s">
        <v>24</v>
      </c>
      <c r="I109" s="3" t="s">
        <v>25</v>
      </c>
      <c r="J109" s="3" t="s">
        <v>24</v>
      </c>
      <c r="K109" s="3" t="s">
        <v>25</v>
      </c>
      <c r="L109" s="5">
        <v>200.0</v>
      </c>
      <c r="M109" s="5">
        <v>235.0</v>
      </c>
      <c r="N109" s="5">
        <v>205.0</v>
      </c>
      <c r="O109" s="5">
        <v>640.0</v>
      </c>
      <c r="P109" s="6">
        <v>44722.0</v>
      </c>
      <c r="Q109" s="3" t="s">
        <v>24</v>
      </c>
      <c r="R109" s="3" t="s">
        <v>25</v>
      </c>
      <c r="S109" s="5">
        <v>12239.0</v>
      </c>
      <c r="T109" s="3"/>
      <c r="U109" s="3"/>
      <c r="V109" s="3"/>
      <c r="W109" s="3"/>
      <c r="X109" s="3"/>
    </row>
    <row r="110">
      <c r="A110" s="3" t="s">
        <v>258</v>
      </c>
      <c r="B110" s="3" t="s">
        <v>259</v>
      </c>
      <c r="C110" s="3" t="s">
        <v>21</v>
      </c>
      <c r="D110" s="3" t="s">
        <v>59</v>
      </c>
      <c r="E110" s="3" t="s">
        <v>157</v>
      </c>
      <c r="F110" s="3" t="s">
        <v>24</v>
      </c>
      <c r="G110" s="3" t="s">
        <v>25</v>
      </c>
      <c r="H110" s="3" t="s">
        <v>24</v>
      </c>
      <c r="I110" s="3" t="s">
        <v>25</v>
      </c>
      <c r="J110" s="3" t="s">
        <v>24</v>
      </c>
      <c r="K110" s="3" t="s">
        <v>25</v>
      </c>
      <c r="L110" s="5">
        <v>220.0</v>
      </c>
      <c r="M110" s="5">
        <v>212.0</v>
      </c>
      <c r="N110" s="5">
        <v>205.0</v>
      </c>
      <c r="O110" s="5">
        <v>637.0</v>
      </c>
      <c r="P110" s="6">
        <v>44723.0</v>
      </c>
      <c r="Q110" s="3" t="s">
        <v>24</v>
      </c>
      <c r="R110" s="3" t="s">
        <v>25</v>
      </c>
      <c r="S110" s="5">
        <v>1173313.0</v>
      </c>
      <c r="T110" s="3"/>
      <c r="U110" s="3"/>
      <c r="V110" s="3"/>
      <c r="W110" s="3"/>
      <c r="X110" s="3"/>
    </row>
    <row r="111">
      <c r="A111" s="3" t="s">
        <v>260</v>
      </c>
      <c r="B111" s="3" t="s">
        <v>261</v>
      </c>
      <c r="C111" s="3" t="s">
        <v>21</v>
      </c>
      <c r="D111" s="3" t="s">
        <v>59</v>
      </c>
      <c r="E111" s="3" t="s">
        <v>157</v>
      </c>
      <c r="F111" s="3" t="s">
        <v>24</v>
      </c>
      <c r="G111" s="3" t="s">
        <v>25</v>
      </c>
      <c r="H111" s="3" t="s">
        <v>24</v>
      </c>
      <c r="I111" s="3" t="s">
        <v>25</v>
      </c>
      <c r="J111" s="3" t="s">
        <v>24</v>
      </c>
      <c r="K111" s="3" t="s">
        <v>25</v>
      </c>
      <c r="L111" s="5">
        <v>200.0</v>
      </c>
      <c r="M111" s="5">
        <v>218.0</v>
      </c>
      <c r="N111" s="5">
        <v>215.0</v>
      </c>
      <c r="O111" s="5">
        <v>633.0</v>
      </c>
      <c r="P111" s="6">
        <v>44667.0</v>
      </c>
      <c r="Q111" s="3" t="s">
        <v>24</v>
      </c>
      <c r="R111" s="3" t="s">
        <v>25</v>
      </c>
      <c r="S111" s="5">
        <v>1517022.0</v>
      </c>
      <c r="T111" s="3"/>
      <c r="U111" s="3"/>
      <c r="V111" s="3"/>
      <c r="W111" s="3"/>
      <c r="X111" s="3"/>
    </row>
    <row r="112">
      <c r="A112" s="3" t="s">
        <v>262</v>
      </c>
      <c r="B112" s="3" t="s">
        <v>263</v>
      </c>
      <c r="C112" s="3" t="s">
        <v>21</v>
      </c>
      <c r="D112" s="3" t="s">
        <v>59</v>
      </c>
      <c r="E112" s="3" t="s">
        <v>157</v>
      </c>
      <c r="F112" s="3" t="s">
        <v>24</v>
      </c>
      <c r="G112" s="3" t="s">
        <v>25</v>
      </c>
      <c r="H112" s="3" t="s">
        <v>24</v>
      </c>
      <c r="I112" s="3" t="s">
        <v>25</v>
      </c>
      <c r="J112" s="3" t="s">
        <v>24</v>
      </c>
      <c r="K112" s="3" t="s">
        <v>25</v>
      </c>
      <c r="L112" s="5">
        <v>200.0</v>
      </c>
      <c r="M112" s="5">
        <v>215.0</v>
      </c>
      <c r="N112" s="5">
        <v>215.0</v>
      </c>
      <c r="O112" s="5">
        <v>630.0</v>
      </c>
      <c r="P112" s="6">
        <v>44722.0</v>
      </c>
      <c r="Q112" s="3" t="s">
        <v>24</v>
      </c>
      <c r="R112" s="3" t="s">
        <v>25</v>
      </c>
      <c r="S112" s="5">
        <v>1689548.0</v>
      </c>
      <c r="T112" s="3"/>
      <c r="U112" s="3"/>
      <c r="V112" s="3"/>
      <c r="W112" s="3"/>
      <c r="X112" s="3"/>
    </row>
    <row r="113">
      <c r="A113" s="3" t="s">
        <v>264</v>
      </c>
      <c r="B113" s="3" t="s">
        <v>265</v>
      </c>
      <c r="C113" s="3" t="s">
        <v>21</v>
      </c>
      <c r="D113" s="3" t="s">
        <v>59</v>
      </c>
      <c r="E113" s="3" t="s">
        <v>157</v>
      </c>
      <c r="F113" s="3" t="s">
        <v>24</v>
      </c>
      <c r="G113" s="3" t="s">
        <v>25</v>
      </c>
      <c r="H113" s="3" t="s">
        <v>24</v>
      </c>
      <c r="I113" s="3" t="s">
        <v>25</v>
      </c>
      <c r="J113" s="3" t="s">
        <v>24</v>
      </c>
      <c r="K113" s="3" t="s">
        <v>25</v>
      </c>
      <c r="L113" s="5">
        <v>205.0</v>
      </c>
      <c r="M113" s="5">
        <v>223.0</v>
      </c>
      <c r="N113" s="5">
        <v>200.0</v>
      </c>
      <c r="O113" s="5">
        <v>628.0</v>
      </c>
      <c r="P113" s="6">
        <v>44820.0</v>
      </c>
      <c r="Q113" s="3" t="s">
        <v>24</v>
      </c>
      <c r="R113" s="3" t="s">
        <v>25</v>
      </c>
      <c r="S113" s="5">
        <v>1636282.0</v>
      </c>
      <c r="T113" s="3"/>
      <c r="U113" s="3"/>
      <c r="V113" s="3"/>
      <c r="W113" s="3"/>
      <c r="X113" s="3"/>
    </row>
    <row r="114">
      <c r="A114" s="3" t="s">
        <v>266</v>
      </c>
      <c r="B114" s="3" t="s">
        <v>267</v>
      </c>
      <c r="C114" s="3" t="s">
        <v>21</v>
      </c>
      <c r="D114" s="3" t="s">
        <v>59</v>
      </c>
      <c r="E114" s="3" t="s">
        <v>157</v>
      </c>
      <c r="F114" s="3" t="s">
        <v>24</v>
      </c>
      <c r="G114" s="3" t="s">
        <v>25</v>
      </c>
      <c r="H114" s="3" t="s">
        <v>24</v>
      </c>
      <c r="I114" s="3" t="s">
        <v>25</v>
      </c>
      <c r="J114" s="3" t="s">
        <v>24</v>
      </c>
      <c r="K114" s="3" t="s">
        <v>25</v>
      </c>
      <c r="L114" s="5">
        <v>205.0</v>
      </c>
      <c r="M114" s="5">
        <v>201.0</v>
      </c>
      <c r="N114" s="5">
        <v>200.0</v>
      </c>
      <c r="O114" s="5">
        <v>606.0</v>
      </c>
      <c r="P114" s="6">
        <v>44723.0</v>
      </c>
      <c r="Q114" s="3" t="s">
        <v>24</v>
      </c>
      <c r="R114" s="3" t="s">
        <v>25</v>
      </c>
      <c r="S114" s="5">
        <v>1576885.0</v>
      </c>
      <c r="T114" s="3"/>
      <c r="U114" s="3"/>
      <c r="V114" s="3"/>
      <c r="W114" s="3"/>
      <c r="X114" s="3"/>
    </row>
    <row r="115">
      <c r="A115" s="3" t="s">
        <v>268</v>
      </c>
      <c r="B115" s="3" t="s">
        <v>269</v>
      </c>
      <c r="C115" s="3" t="s">
        <v>21</v>
      </c>
      <c r="D115" s="3" t="s">
        <v>59</v>
      </c>
      <c r="E115" s="3" t="s">
        <v>157</v>
      </c>
      <c r="F115" s="3" t="s">
        <v>24</v>
      </c>
      <c r="G115" s="3" t="s">
        <v>25</v>
      </c>
      <c r="H115" s="3" t="s">
        <v>24</v>
      </c>
      <c r="I115" s="3" t="s">
        <v>25</v>
      </c>
      <c r="J115" s="3" t="s">
        <v>24</v>
      </c>
      <c r="K115" s="3" t="s">
        <v>25</v>
      </c>
      <c r="L115" s="5">
        <v>200.0</v>
      </c>
      <c r="M115" s="5">
        <v>201.0</v>
      </c>
      <c r="N115" s="5">
        <v>203.0</v>
      </c>
      <c r="O115" s="5">
        <v>604.0</v>
      </c>
      <c r="P115" s="6">
        <v>44723.0</v>
      </c>
      <c r="Q115" s="3" t="s">
        <v>24</v>
      </c>
      <c r="R115" s="3" t="s">
        <v>25</v>
      </c>
      <c r="S115" s="5">
        <v>1422142.0</v>
      </c>
      <c r="T115" s="3"/>
      <c r="U115" s="3"/>
      <c r="V115" s="3"/>
      <c r="W115" s="3"/>
      <c r="X115" s="3"/>
    </row>
    <row r="116">
      <c r="A116" s="3" t="s">
        <v>270</v>
      </c>
      <c r="B116" s="3" t="s">
        <v>271</v>
      </c>
      <c r="C116" s="3" t="s">
        <v>21</v>
      </c>
      <c r="D116" s="3" t="s">
        <v>22</v>
      </c>
      <c r="E116" s="3" t="s">
        <v>272</v>
      </c>
      <c r="F116" s="3" t="s">
        <v>147</v>
      </c>
      <c r="G116" s="3" t="s">
        <v>148</v>
      </c>
      <c r="H116" s="3" t="s">
        <v>30</v>
      </c>
      <c r="I116" s="3" t="s">
        <v>25</v>
      </c>
      <c r="J116" s="3" t="s">
        <v>30</v>
      </c>
      <c r="K116" s="3" t="s">
        <v>25</v>
      </c>
      <c r="L116" s="5">
        <v>700.0</v>
      </c>
      <c r="M116" s="5">
        <v>389.0</v>
      </c>
      <c r="N116" s="5">
        <v>320.0</v>
      </c>
      <c r="O116" s="5">
        <v>1409.0</v>
      </c>
      <c r="P116" s="6">
        <v>44723.0</v>
      </c>
      <c r="Q116" s="3" t="s">
        <v>28</v>
      </c>
      <c r="R116" s="3" t="s">
        <v>29</v>
      </c>
      <c r="S116" s="5">
        <v>1466258.0</v>
      </c>
      <c r="T116" s="3"/>
      <c r="U116" s="3"/>
      <c r="V116" s="3"/>
      <c r="W116" s="3"/>
      <c r="X116" s="3"/>
    </row>
    <row r="117">
      <c r="A117" s="3" t="s">
        <v>273</v>
      </c>
      <c r="B117" s="3" t="s">
        <v>274</v>
      </c>
      <c r="C117" s="3" t="s">
        <v>21</v>
      </c>
      <c r="D117" s="3" t="s">
        <v>22</v>
      </c>
      <c r="E117" s="3" t="s">
        <v>272</v>
      </c>
      <c r="F117" s="3" t="s">
        <v>28</v>
      </c>
      <c r="G117" s="3" t="s">
        <v>29</v>
      </c>
      <c r="H117" s="3" t="s">
        <v>30</v>
      </c>
      <c r="I117" s="3" t="s">
        <v>25</v>
      </c>
      <c r="J117" s="3" t="s">
        <v>30</v>
      </c>
      <c r="K117" s="3" t="s">
        <v>25</v>
      </c>
      <c r="L117" s="5">
        <v>542.0</v>
      </c>
      <c r="M117" s="5">
        <v>322.0</v>
      </c>
      <c r="N117" s="5">
        <v>315.0</v>
      </c>
      <c r="O117" s="5">
        <v>1179.0</v>
      </c>
      <c r="P117" s="6">
        <v>44667.0</v>
      </c>
      <c r="Q117" s="3" t="s">
        <v>31</v>
      </c>
      <c r="R117" s="3" t="s">
        <v>29</v>
      </c>
      <c r="S117" s="5">
        <v>1579241.0</v>
      </c>
      <c r="T117" s="3"/>
      <c r="U117" s="3"/>
      <c r="V117" s="3"/>
      <c r="W117" s="3"/>
      <c r="X117" s="3"/>
    </row>
    <row r="118">
      <c r="A118" s="3" t="s">
        <v>275</v>
      </c>
      <c r="B118" s="3" t="s">
        <v>276</v>
      </c>
      <c r="C118" s="3" t="s">
        <v>21</v>
      </c>
      <c r="D118" s="3" t="s">
        <v>22</v>
      </c>
      <c r="E118" s="3" t="s">
        <v>272</v>
      </c>
      <c r="F118" s="3" t="s">
        <v>28</v>
      </c>
      <c r="G118" s="3" t="s">
        <v>29</v>
      </c>
      <c r="H118" s="3" t="s">
        <v>30</v>
      </c>
      <c r="I118" s="3" t="s">
        <v>25</v>
      </c>
      <c r="J118" s="3" t="s">
        <v>30</v>
      </c>
      <c r="K118" s="3" t="s">
        <v>25</v>
      </c>
      <c r="L118" s="5">
        <v>522.0</v>
      </c>
      <c r="M118" s="5">
        <v>323.0</v>
      </c>
      <c r="N118" s="5">
        <v>305.0</v>
      </c>
      <c r="O118" s="5">
        <v>1150.0</v>
      </c>
      <c r="P118" s="6">
        <v>44669.0</v>
      </c>
      <c r="Q118" s="3" t="s">
        <v>31</v>
      </c>
      <c r="R118" s="3" t="s">
        <v>29</v>
      </c>
      <c r="S118" s="5">
        <v>62996.0</v>
      </c>
      <c r="T118" s="3"/>
      <c r="U118" s="3"/>
      <c r="V118" s="3"/>
      <c r="W118" s="3"/>
      <c r="X118" s="3"/>
    </row>
    <row r="119">
      <c r="A119" s="3" t="s">
        <v>277</v>
      </c>
      <c r="B119" s="3" t="s">
        <v>278</v>
      </c>
      <c r="C119" s="3" t="s">
        <v>21</v>
      </c>
      <c r="D119" s="3" t="s">
        <v>22</v>
      </c>
      <c r="E119" s="3" t="s">
        <v>272</v>
      </c>
      <c r="F119" s="3" t="s">
        <v>28</v>
      </c>
      <c r="G119" s="3" t="s">
        <v>29</v>
      </c>
      <c r="H119" s="3" t="s">
        <v>30</v>
      </c>
      <c r="I119" s="3" t="s">
        <v>25</v>
      </c>
      <c r="J119" s="3" t="s">
        <v>30</v>
      </c>
      <c r="K119" s="3" t="s">
        <v>25</v>
      </c>
      <c r="L119" s="5">
        <v>535.0</v>
      </c>
      <c r="M119" s="5">
        <v>305.0</v>
      </c>
      <c r="N119" s="5">
        <v>300.0</v>
      </c>
      <c r="O119" s="5">
        <v>1140.0</v>
      </c>
      <c r="P119" s="7">
        <v>44880.0</v>
      </c>
      <c r="Q119" s="3" t="s">
        <v>31</v>
      </c>
      <c r="R119" s="3" t="s">
        <v>29</v>
      </c>
      <c r="S119" s="5">
        <v>1834622.0</v>
      </c>
      <c r="T119" s="3"/>
      <c r="U119" s="3"/>
      <c r="V119" s="3"/>
      <c r="W119" s="3"/>
      <c r="X119" s="3"/>
    </row>
    <row r="120">
      <c r="A120" s="3" t="s">
        <v>279</v>
      </c>
      <c r="B120" s="3" t="s">
        <v>280</v>
      </c>
      <c r="C120" s="3" t="s">
        <v>21</v>
      </c>
      <c r="D120" s="3" t="s">
        <v>22</v>
      </c>
      <c r="E120" s="3" t="s">
        <v>272</v>
      </c>
      <c r="F120" s="3" t="s">
        <v>28</v>
      </c>
      <c r="G120" s="3" t="s">
        <v>29</v>
      </c>
      <c r="H120" s="3" t="s">
        <v>30</v>
      </c>
      <c r="I120" s="3" t="s">
        <v>25</v>
      </c>
      <c r="J120" s="3" t="s">
        <v>30</v>
      </c>
      <c r="K120" s="3" t="s">
        <v>25</v>
      </c>
      <c r="L120" s="5">
        <v>510.0</v>
      </c>
      <c r="M120" s="5">
        <v>315.0</v>
      </c>
      <c r="N120" s="5">
        <v>310.0</v>
      </c>
      <c r="O120" s="5">
        <v>1135.0</v>
      </c>
      <c r="P120" s="6">
        <v>44667.0</v>
      </c>
      <c r="Q120" s="3" t="s">
        <v>31</v>
      </c>
      <c r="R120" s="3" t="s">
        <v>29</v>
      </c>
      <c r="S120" s="5">
        <v>91142.0</v>
      </c>
      <c r="T120" s="3"/>
      <c r="U120" s="3"/>
      <c r="V120" s="3"/>
      <c r="W120" s="3"/>
      <c r="X120" s="3"/>
    </row>
    <row r="121">
      <c r="A121" s="3" t="s">
        <v>281</v>
      </c>
      <c r="B121" s="3" t="s">
        <v>282</v>
      </c>
      <c r="C121" s="3" t="s">
        <v>21</v>
      </c>
      <c r="D121" s="3" t="s">
        <v>22</v>
      </c>
      <c r="E121" s="3" t="s">
        <v>272</v>
      </c>
      <c r="F121" s="3" t="s">
        <v>28</v>
      </c>
      <c r="G121" s="3" t="s">
        <v>29</v>
      </c>
      <c r="H121" s="3" t="s">
        <v>30</v>
      </c>
      <c r="I121" s="3" t="s">
        <v>25</v>
      </c>
      <c r="J121" s="3" t="s">
        <v>30</v>
      </c>
      <c r="K121" s="3" t="s">
        <v>25</v>
      </c>
      <c r="L121" s="5">
        <v>510.0</v>
      </c>
      <c r="M121" s="5">
        <v>302.0</v>
      </c>
      <c r="N121" s="5">
        <v>300.0</v>
      </c>
      <c r="O121" s="5">
        <v>1112.0</v>
      </c>
      <c r="P121" s="6">
        <v>44668.0</v>
      </c>
      <c r="Q121" s="3" t="s">
        <v>31</v>
      </c>
      <c r="R121" s="3" t="s">
        <v>29</v>
      </c>
      <c r="S121" s="5">
        <v>1519751.0</v>
      </c>
      <c r="T121" s="3"/>
      <c r="U121" s="3"/>
      <c r="V121" s="3"/>
      <c r="W121" s="3"/>
      <c r="X121" s="3"/>
    </row>
    <row r="122">
      <c r="A122" s="3" t="s">
        <v>283</v>
      </c>
      <c r="B122" s="3" t="s">
        <v>284</v>
      </c>
      <c r="C122" s="3" t="s">
        <v>21</v>
      </c>
      <c r="D122" s="3" t="s">
        <v>22</v>
      </c>
      <c r="E122" s="3" t="s">
        <v>272</v>
      </c>
      <c r="F122" s="3" t="s">
        <v>28</v>
      </c>
      <c r="G122" s="3" t="s">
        <v>29</v>
      </c>
      <c r="H122" s="3" t="s">
        <v>30</v>
      </c>
      <c r="I122" s="3" t="s">
        <v>25</v>
      </c>
      <c r="J122" s="3" t="s">
        <v>30</v>
      </c>
      <c r="K122" s="3" t="s">
        <v>25</v>
      </c>
      <c r="L122" s="5">
        <v>500.0</v>
      </c>
      <c r="M122" s="5">
        <v>300.0</v>
      </c>
      <c r="N122" s="5">
        <v>300.0</v>
      </c>
      <c r="O122" s="5">
        <v>1100.0</v>
      </c>
      <c r="P122" s="6">
        <v>44723.0</v>
      </c>
      <c r="Q122" s="3" t="s">
        <v>31</v>
      </c>
      <c r="R122" s="3" t="s">
        <v>29</v>
      </c>
      <c r="S122" s="5">
        <v>1439288.0</v>
      </c>
      <c r="T122" s="3"/>
      <c r="U122" s="3"/>
      <c r="V122" s="3"/>
      <c r="W122" s="3"/>
      <c r="X122" s="3"/>
    </row>
    <row r="123">
      <c r="A123" s="3" t="s">
        <v>285</v>
      </c>
      <c r="B123" s="3" t="s">
        <v>286</v>
      </c>
      <c r="C123" s="3" t="s">
        <v>21</v>
      </c>
      <c r="D123" s="3" t="s">
        <v>59</v>
      </c>
      <c r="E123" s="3" t="s">
        <v>272</v>
      </c>
      <c r="F123" s="3" t="s">
        <v>28</v>
      </c>
      <c r="G123" s="3" t="s">
        <v>29</v>
      </c>
      <c r="H123" s="3" t="s">
        <v>30</v>
      </c>
      <c r="I123" s="3" t="s">
        <v>25</v>
      </c>
      <c r="J123" s="3" t="s">
        <v>24</v>
      </c>
      <c r="K123" s="3" t="s">
        <v>25</v>
      </c>
      <c r="L123" s="5">
        <v>500.0</v>
      </c>
      <c r="M123" s="5">
        <v>300.0</v>
      </c>
      <c r="N123" s="5">
        <v>223.0</v>
      </c>
      <c r="O123" s="5">
        <v>1023.0</v>
      </c>
      <c r="P123" s="6">
        <v>44667.0</v>
      </c>
      <c r="Q123" s="3" t="s">
        <v>31</v>
      </c>
      <c r="R123" s="3" t="s">
        <v>29</v>
      </c>
      <c r="S123" s="5">
        <v>824142.0</v>
      </c>
      <c r="T123" s="3"/>
      <c r="U123" s="3"/>
      <c r="V123" s="3"/>
      <c r="W123" s="3"/>
      <c r="X123" s="3"/>
    </row>
    <row r="124">
      <c r="A124" s="3" t="s">
        <v>287</v>
      </c>
      <c r="B124" s="3" t="s">
        <v>288</v>
      </c>
      <c r="C124" s="3" t="s">
        <v>84</v>
      </c>
      <c r="D124" s="3" t="s">
        <v>59</v>
      </c>
      <c r="E124" s="3" t="s">
        <v>272</v>
      </c>
      <c r="F124" s="3" t="s">
        <v>24</v>
      </c>
      <c r="G124" s="3" t="s">
        <v>25</v>
      </c>
      <c r="H124" s="3" t="s">
        <v>24</v>
      </c>
      <c r="I124" s="3" t="s">
        <v>25</v>
      </c>
      <c r="J124" s="3" t="s">
        <v>30</v>
      </c>
      <c r="K124" s="3" t="s">
        <v>25</v>
      </c>
      <c r="L124" s="5">
        <v>238.0</v>
      </c>
      <c r="M124" s="5">
        <v>237.0</v>
      </c>
      <c r="N124" s="5">
        <v>325.0</v>
      </c>
      <c r="O124" s="5">
        <v>800.0</v>
      </c>
      <c r="P124" s="6">
        <v>44722.0</v>
      </c>
      <c r="Q124" s="3" t="s">
        <v>30</v>
      </c>
      <c r="R124" s="3" t="s">
        <v>25</v>
      </c>
      <c r="S124" s="5">
        <v>1470683.0</v>
      </c>
      <c r="T124" s="3"/>
      <c r="U124" s="3"/>
      <c r="V124" s="3"/>
      <c r="W124" s="3"/>
      <c r="X124" s="3"/>
    </row>
    <row r="125">
      <c r="A125" s="3" t="s">
        <v>289</v>
      </c>
      <c r="B125" s="3" t="s">
        <v>290</v>
      </c>
      <c r="C125" s="3" t="s">
        <v>21</v>
      </c>
      <c r="D125" s="3" t="s">
        <v>22</v>
      </c>
      <c r="E125" s="3" t="s">
        <v>272</v>
      </c>
      <c r="F125" s="3" t="s">
        <v>24</v>
      </c>
      <c r="G125" s="3" t="s">
        <v>25</v>
      </c>
      <c r="H125" s="3" t="s">
        <v>24</v>
      </c>
      <c r="I125" s="3" t="s">
        <v>25</v>
      </c>
      <c r="J125" s="3" t="s">
        <v>24</v>
      </c>
      <c r="K125" s="3" t="s">
        <v>25</v>
      </c>
      <c r="L125" s="5">
        <v>210.0</v>
      </c>
      <c r="M125" s="5">
        <v>258.0</v>
      </c>
      <c r="N125" s="5">
        <v>226.0</v>
      </c>
      <c r="O125" s="5">
        <v>694.0</v>
      </c>
      <c r="P125" s="6">
        <v>44672.0</v>
      </c>
      <c r="Q125" s="3" t="s">
        <v>24</v>
      </c>
      <c r="R125" s="3" t="s">
        <v>25</v>
      </c>
      <c r="S125" s="5">
        <v>1783180.0</v>
      </c>
      <c r="T125" s="3"/>
      <c r="U125" s="3"/>
      <c r="V125" s="3"/>
      <c r="W125" s="3"/>
      <c r="X125" s="3"/>
    </row>
    <row r="126">
      <c r="A126" s="3" t="s">
        <v>291</v>
      </c>
      <c r="B126" s="3" t="s">
        <v>292</v>
      </c>
      <c r="C126" s="3" t="s">
        <v>21</v>
      </c>
      <c r="D126" s="3" t="s">
        <v>22</v>
      </c>
      <c r="E126" s="3" t="s">
        <v>293</v>
      </c>
      <c r="F126" s="3" t="s">
        <v>147</v>
      </c>
      <c r="G126" s="3" t="s">
        <v>148</v>
      </c>
      <c r="H126" s="3" t="s">
        <v>31</v>
      </c>
      <c r="I126" s="3" t="s">
        <v>29</v>
      </c>
      <c r="J126" s="3" t="s">
        <v>30</v>
      </c>
      <c r="K126" s="3" t="s">
        <v>25</v>
      </c>
      <c r="L126" s="5">
        <v>700.0</v>
      </c>
      <c r="M126" s="5">
        <v>442.0</v>
      </c>
      <c r="N126" s="5">
        <v>300.0</v>
      </c>
      <c r="O126" s="5">
        <v>1442.0</v>
      </c>
      <c r="P126" s="6">
        <v>44667.0</v>
      </c>
      <c r="Q126" s="3" t="s">
        <v>28</v>
      </c>
      <c r="R126" s="3" t="s">
        <v>29</v>
      </c>
      <c r="S126" s="5">
        <v>2969.0</v>
      </c>
      <c r="T126" s="3"/>
      <c r="U126" s="3"/>
      <c r="V126" s="3"/>
      <c r="W126" s="3"/>
      <c r="X126" s="3"/>
    </row>
    <row r="127">
      <c r="A127" s="3" t="s">
        <v>294</v>
      </c>
      <c r="B127" s="3" t="s">
        <v>295</v>
      </c>
      <c r="C127" s="3" t="s">
        <v>21</v>
      </c>
      <c r="D127" s="3" t="s">
        <v>22</v>
      </c>
      <c r="E127" s="3" t="s">
        <v>293</v>
      </c>
      <c r="F127" s="3" t="s">
        <v>28</v>
      </c>
      <c r="G127" s="3" t="s">
        <v>29</v>
      </c>
      <c r="H127" s="3" t="s">
        <v>30</v>
      </c>
      <c r="I127" s="3" t="s">
        <v>25</v>
      </c>
      <c r="J127" s="3" t="s">
        <v>30</v>
      </c>
      <c r="K127" s="3" t="s">
        <v>25</v>
      </c>
      <c r="L127" s="5">
        <v>587.0</v>
      </c>
      <c r="M127" s="5">
        <v>352.0</v>
      </c>
      <c r="N127" s="5">
        <v>330.0</v>
      </c>
      <c r="O127" s="5">
        <v>1269.0</v>
      </c>
      <c r="P127" s="6">
        <v>44669.0</v>
      </c>
      <c r="Q127" s="3" t="s">
        <v>28</v>
      </c>
      <c r="R127" s="3" t="s">
        <v>29</v>
      </c>
      <c r="S127" s="5">
        <v>1489393.0</v>
      </c>
      <c r="T127" s="3"/>
      <c r="U127" s="3"/>
      <c r="V127" s="3"/>
      <c r="W127" s="3"/>
      <c r="X127" s="3"/>
    </row>
    <row r="128">
      <c r="A128" s="3" t="s">
        <v>296</v>
      </c>
      <c r="B128" s="3" t="s">
        <v>297</v>
      </c>
      <c r="C128" s="3" t="s">
        <v>21</v>
      </c>
      <c r="D128" s="3" t="s">
        <v>22</v>
      </c>
      <c r="E128" s="3" t="s">
        <v>293</v>
      </c>
      <c r="F128" s="3" t="s">
        <v>28</v>
      </c>
      <c r="G128" s="3" t="s">
        <v>29</v>
      </c>
      <c r="H128" s="3" t="s">
        <v>30</v>
      </c>
      <c r="I128" s="3" t="s">
        <v>25</v>
      </c>
      <c r="J128" s="3" t="s">
        <v>30</v>
      </c>
      <c r="K128" s="3" t="s">
        <v>25</v>
      </c>
      <c r="L128" s="5">
        <v>583.0</v>
      </c>
      <c r="M128" s="5">
        <v>365.0</v>
      </c>
      <c r="N128" s="5">
        <v>310.0</v>
      </c>
      <c r="O128" s="5">
        <v>1258.0</v>
      </c>
      <c r="P128" s="6">
        <v>44668.0</v>
      </c>
      <c r="Q128" s="3" t="s">
        <v>28</v>
      </c>
      <c r="R128" s="3" t="s">
        <v>29</v>
      </c>
      <c r="S128" s="5">
        <v>915389.0</v>
      </c>
      <c r="T128" s="3"/>
      <c r="U128" s="3"/>
      <c r="V128" s="3"/>
      <c r="W128" s="3"/>
      <c r="X128" s="3"/>
    </row>
    <row r="129">
      <c r="A129" s="3" t="s">
        <v>298</v>
      </c>
      <c r="B129" s="3" t="s">
        <v>299</v>
      </c>
      <c r="C129" s="3" t="s">
        <v>21</v>
      </c>
      <c r="D129" s="3" t="s">
        <v>22</v>
      </c>
      <c r="E129" s="3" t="s">
        <v>293</v>
      </c>
      <c r="F129" s="3" t="s">
        <v>28</v>
      </c>
      <c r="G129" s="3" t="s">
        <v>29</v>
      </c>
      <c r="H129" s="3" t="s">
        <v>30</v>
      </c>
      <c r="I129" s="3" t="s">
        <v>25</v>
      </c>
      <c r="J129" s="3" t="s">
        <v>30</v>
      </c>
      <c r="K129" s="3" t="s">
        <v>25</v>
      </c>
      <c r="L129" s="5">
        <v>547.0</v>
      </c>
      <c r="M129" s="5">
        <v>373.0</v>
      </c>
      <c r="N129" s="5">
        <v>325.0</v>
      </c>
      <c r="O129" s="5">
        <v>1245.0</v>
      </c>
      <c r="P129" s="6">
        <v>44668.0</v>
      </c>
      <c r="Q129" s="3" t="s">
        <v>28</v>
      </c>
      <c r="R129" s="3" t="s">
        <v>29</v>
      </c>
      <c r="S129" s="5">
        <v>31462.0</v>
      </c>
      <c r="T129" s="3"/>
      <c r="U129" s="3"/>
      <c r="V129" s="3"/>
      <c r="W129" s="3"/>
      <c r="X129" s="3"/>
    </row>
    <row r="130">
      <c r="A130" s="3" t="s">
        <v>300</v>
      </c>
      <c r="B130" s="3" t="s">
        <v>301</v>
      </c>
      <c r="C130" s="3" t="s">
        <v>21</v>
      </c>
      <c r="D130" s="3" t="s">
        <v>22</v>
      </c>
      <c r="E130" s="3" t="s">
        <v>293</v>
      </c>
      <c r="F130" s="3" t="s">
        <v>147</v>
      </c>
      <c r="G130" s="3" t="s">
        <v>148</v>
      </c>
      <c r="H130" s="3" t="s">
        <v>30</v>
      </c>
      <c r="I130" s="3" t="s">
        <v>25</v>
      </c>
      <c r="J130" s="3" t="s">
        <v>30</v>
      </c>
      <c r="K130" s="3" t="s">
        <v>25</v>
      </c>
      <c r="L130" s="5">
        <v>610.0</v>
      </c>
      <c r="M130" s="5">
        <v>312.0</v>
      </c>
      <c r="N130" s="5">
        <v>320.0</v>
      </c>
      <c r="O130" s="5">
        <v>1242.0</v>
      </c>
      <c r="P130" s="6">
        <v>44722.0</v>
      </c>
      <c r="Q130" s="3" t="s">
        <v>28</v>
      </c>
      <c r="R130" s="3" t="s">
        <v>29</v>
      </c>
      <c r="S130" s="5">
        <v>1755672.0</v>
      </c>
      <c r="T130" s="3"/>
      <c r="U130" s="3"/>
      <c r="V130" s="3"/>
      <c r="W130" s="3"/>
      <c r="X130" s="3"/>
    </row>
    <row r="131">
      <c r="A131" s="3" t="s">
        <v>302</v>
      </c>
      <c r="B131" s="3" t="s">
        <v>303</v>
      </c>
      <c r="C131" s="3" t="s">
        <v>21</v>
      </c>
      <c r="D131" s="3" t="s">
        <v>22</v>
      </c>
      <c r="E131" s="3" t="s">
        <v>293</v>
      </c>
      <c r="F131" s="3" t="s">
        <v>28</v>
      </c>
      <c r="G131" s="3" t="s">
        <v>29</v>
      </c>
      <c r="H131" s="3" t="s">
        <v>30</v>
      </c>
      <c r="I131" s="3" t="s">
        <v>25</v>
      </c>
      <c r="J131" s="3" t="s">
        <v>30</v>
      </c>
      <c r="K131" s="3" t="s">
        <v>25</v>
      </c>
      <c r="L131" s="5">
        <v>515.0</v>
      </c>
      <c r="M131" s="5">
        <v>379.0</v>
      </c>
      <c r="N131" s="5">
        <v>315.0</v>
      </c>
      <c r="O131" s="5">
        <v>1209.0</v>
      </c>
      <c r="P131" s="6">
        <v>44669.0</v>
      </c>
      <c r="Q131" s="3" t="s">
        <v>28</v>
      </c>
      <c r="R131" s="3" t="s">
        <v>29</v>
      </c>
      <c r="S131" s="5">
        <v>1285785.0</v>
      </c>
      <c r="T131" s="3"/>
      <c r="U131" s="3"/>
      <c r="V131" s="3"/>
      <c r="W131" s="3"/>
      <c r="X131" s="3"/>
    </row>
    <row r="132">
      <c r="A132" s="3" t="s">
        <v>304</v>
      </c>
      <c r="B132" s="3" t="s">
        <v>305</v>
      </c>
      <c r="C132" s="3" t="s">
        <v>21</v>
      </c>
      <c r="D132" s="3" t="s">
        <v>22</v>
      </c>
      <c r="E132" s="3" t="s">
        <v>293</v>
      </c>
      <c r="F132" s="3" t="s">
        <v>28</v>
      </c>
      <c r="G132" s="3" t="s">
        <v>29</v>
      </c>
      <c r="H132" s="3" t="s">
        <v>30</v>
      </c>
      <c r="I132" s="3" t="s">
        <v>25</v>
      </c>
      <c r="J132" s="3" t="s">
        <v>24</v>
      </c>
      <c r="K132" s="3" t="s">
        <v>25</v>
      </c>
      <c r="L132" s="5">
        <v>550.0</v>
      </c>
      <c r="M132" s="5">
        <v>341.0</v>
      </c>
      <c r="N132" s="5">
        <v>295.0</v>
      </c>
      <c r="O132" s="5">
        <v>1186.0</v>
      </c>
      <c r="P132" s="6">
        <v>44668.0</v>
      </c>
      <c r="Q132" s="3" t="s">
        <v>31</v>
      </c>
      <c r="R132" s="3" t="s">
        <v>29</v>
      </c>
      <c r="S132" s="5">
        <v>1666700.0</v>
      </c>
      <c r="T132" s="3"/>
      <c r="U132" s="3"/>
      <c r="V132" s="3"/>
      <c r="W132" s="3"/>
      <c r="X132" s="3"/>
    </row>
    <row r="133">
      <c r="A133" s="3" t="s">
        <v>306</v>
      </c>
      <c r="B133" s="3" t="s">
        <v>307</v>
      </c>
      <c r="C133" s="3" t="s">
        <v>21</v>
      </c>
      <c r="D133" s="3" t="s">
        <v>22</v>
      </c>
      <c r="E133" s="3" t="s">
        <v>293</v>
      </c>
      <c r="F133" s="3" t="s">
        <v>28</v>
      </c>
      <c r="G133" s="3" t="s">
        <v>29</v>
      </c>
      <c r="H133" s="3" t="s">
        <v>30</v>
      </c>
      <c r="I133" s="3" t="s">
        <v>25</v>
      </c>
      <c r="J133" s="3" t="s">
        <v>30</v>
      </c>
      <c r="K133" s="3" t="s">
        <v>25</v>
      </c>
      <c r="L133" s="5">
        <v>545.0</v>
      </c>
      <c r="M133" s="5">
        <v>322.0</v>
      </c>
      <c r="N133" s="5">
        <v>315.0</v>
      </c>
      <c r="O133" s="5">
        <v>1182.0</v>
      </c>
      <c r="P133" s="6">
        <v>44667.0</v>
      </c>
      <c r="Q133" s="3" t="s">
        <v>31</v>
      </c>
      <c r="R133" s="3" t="s">
        <v>29</v>
      </c>
      <c r="S133" s="5">
        <v>915913.0</v>
      </c>
      <c r="T133" s="3"/>
      <c r="U133" s="3"/>
      <c r="V133" s="3"/>
      <c r="W133" s="3"/>
      <c r="X133" s="3"/>
    </row>
    <row r="134">
      <c r="A134" s="3" t="s">
        <v>308</v>
      </c>
      <c r="B134" s="3" t="s">
        <v>309</v>
      </c>
      <c r="C134" s="3" t="s">
        <v>21</v>
      </c>
      <c r="D134" s="3" t="s">
        <v>22</v>
      </c>
      <c r="E134" s="3" t="s">
        <v>293</v>
      </c>
      <c r="F134" s="3" t="s">
        <v>28</v>
      </c>
      <c r="G134" s="3" t="s">
        <v>29</v>
      </c>
      <c r="H134" s="3" t="s">
        <v>30</v>
      </c>
      <c r="I134" s="3" t="s">
        <v>25</v>
      </c>
      <c r="J134" s="3" t="s">
        <v>30</v>
      </c>
      <c r="K134" s="3" t="s">
        <v>25</v>
      </c>
      <c r="L134" s="5">
        <v>525.0</v>
      </c>
      <c r="M134" s="5">
        <v>307.0</v>
      </c>
      <c r="N134" s="5">
        <v>310.0</v>
      </c>
      <c r="O134" s="5">
        <v>1142.0</v>
      </c>
      <c r="P134" s="6">
        <v>44667.0</v>
      </c>
      <c r="Q134" s="3" t="s">
        <v>31</v>
      </c>
      <c r="R134" s="3" t="s">
        <v>29</v>
      </c>
      <c r="S134" s="5">
        <v>1324404.0</v>
      </c>
      <c r="T134" s="3"/>
      <c r="U134" s="3"/>
      <c r="V134" s="3"/>
      <c r="W134" s="3"/>
      <c r="X134" s="3"/>
    </row>
    <row r="135">
      <c r="A135" s="3" t="s">
        <v>310</v>
      </c>
      <c r="B135" s="3" t="s">
        <v>311</v>
      </c>
      <c r="C135" s="3" t="s">
        <v>21</v>
      </c>
      <c r="D135" s="3" t="s">
        <v>22</v>
      </c>
      <c r="E135" s="3" t="s">
        <v>293</v>
      </c>
      <c r="F135" s="3" t="s">
        <v>28</v>
      </c>
      <c r="G135" s="3" t="s">
        <v>29</v>
      </c>
      <c r="H135" s="3" t="s">
        <v>30</v>
      </c>
      <c r="I135" s="3" t="s">
        <v>25</v>
      </c>
      <c r="J135" s="3" t="s">
        <v>30</v>
      </c>
      <c r="K135" s="3" t="s">
        <v>25</v>
      </c>
      <c r="L135" s="5">
        <v>510.0</v>
      </c>
      <c r="M135" s="5">
        <v>307.0</v>
      </c>
      <c r="N135" s="5">
        <v>315.0</v>
      </c>
      <c r="O135" s="5">
        <v>1132.0</v>
      </c>
      <c r="P135" s="6">
        <v>44668.0</v>
      </c>
      <c r="Q135" s="3" t="s">
        <v>31</v>
      </c>
      <c r="R135" s="3" t="s">
        <v>29</v>
      </c>
      <c r="S135" s="5">
        <v>37785.0</v>
      </c>
      <c r="T135" s="3"/>
      <c r="U135" s="3"/>
      <c r="V135" s="3"/>
      <c r="W135" s="3"/>
      <c r="X135" s="3"/>
    </row>
    <row r="136">
      <c r="A136" s="3" t="s">
        <v>312</v>
      </c>
      <c r="B136" s="3" t="s">
        <v>313</v>
      </c>
      <c r="C136" s="3" t="s">
        <v>21</v>
      </c>
      <c r="D136" s="3" t="s">
        <v>22</v>
      </c>
      <c r="E136" s="3" t="s">
        <v>293</v>
      </c>
      <c r="F136" s="3" t="s">
        <v>28</v>
      </c>
      <c r="G136" s="3" t="s">
        <v>29</v>
      </c>
      <c r="H136" s="3" t="s">
        <v>30</v>
      </c>
      <c r="I136" s="3" t="s">
        <v>25</v>
      </c>
      <c r="J136" s="3" t="s">
        <v>30</v>
      </c>
      <c r="K136" s="3" t="s">
        <v>25</v>
      </c>
      <c r="L136" s="5">
        <v>503.0</v>
      </c>
      <c r="M136" s="5">
        <v>320.0</v>
      </c>
      <c r="N136" s="5">
        <v>300.0</v>
      </c>
      <c r="O136" s="5">
        <v>1123.0</v>
      </c>
      <c r="P136" s="6">
        <v>44670.0</v>
      </c>
      <c r="Q136" s="3" t="s">
        <v>31</v>
      </c>
      <c r="R136" s="3" t="s">
        <v>29</v>
      </c>
      <c r="S136" s="5">
        <v>1530804.0</v>
      </c>
      <c r="T136" s="3"/>
      <c r="U136" s="3"/>
      <c r="V136" s="3"/>
      <c r="W136" s="3"/>
      <c r="X136" s="3"/>
    </row>
    <row r="137">
      <c r="A137" s="3" t="s">
        <v>314</v>
      </c>
      <c r="B137" s="3" t="s">
        <v>315</v>
      </c>
      <c r="C137" s="3" t="s">
        <v>21</v>
      </c>
      <c r="D137" s="3" t="s">
        <v>22</v>
      </c>
      <c r="E137" s="3" t="s">
        <v>293</v>
      </c>
      <c r="F137" s="3" t="s">
        <v>28</v>
      </c>
      <c r="G137" s="3" t="s">
        <v>29</v>
      </c>
      <c r="H137" s="3" t="s">
        <v>30</v>
      </c>
      <c r="I137" s="3" t="s">
        <v>25</v>
      </c>
      <c r="J137" s="3" t="s">
        <v>30</v>
      </c>
      <c r="K137" s="3" t="s">
        <v>25</v>
      </c>
      <c r="L137" s="5">
        <v>500.0</v>
      </c>
      <c r="M137" s="5">
        <v>319.0</v>
      </c>
      <c r="N137" s="5">
        <v>300.0</v>
      </c>
      <c r="O137" s="5">
        <v>1119.0</v>
      </c>
      <c r="P137" s="6">
        <v>44722.0</v>
      </c>
      <c r="Q137" s="3" t="s">
        <v>31</v>
      </c>
      <c r="R137" s="3" t="s">
        <v>29</v>
      </c>
      <c r="S137" s="5">
        <v>1306830.0</v>
      </c>
      <c r="T137" s="3"/>
      <c r="U137" s="3"/>
      <c r="V137" s="3"/>
      <c r="W137" s="3"/>
      <c r="X137" s="3"/>
    </row>
    <row r="138">
      <c r="A138" s="3" t="s">
        <v>316</v>
      </c>
      <c r="B138" s="3" t="s">
        <v>317</v>
      </c>
      <c r="C138" s="3" t="s">
        <v>21</v>
      </c>
      <c r="D138" s="3" t="s">
        <v>59</v>
      </c>
      <c r="E138" s="3" t="s">
        <v>293</v>
      </c>
      <c r="F138" s="3" t="s">
        <v>28</v>
      </c>
      <c r="G138" s="3" t="s">
        <v>29</v>
      </c>
      <c r="H138" s="3" t="s">
        <v>30</v>
      </c>
      <c r="I138" s="3" t="s">
        <v>25</v>
      </c>
      <c r="J138" s="3" t="s">
        <v>24</v>
      </c>
      <c r="K138" s="3" t="s">
        <v>25</v>
      </c>
      <c r="L138" s="5">
        <v>500.0</v>
      </c>
      <c r="M138" s="5">
        <v>301.0</v>
      </c>
      <c r="N138" s="5">
        <v>275.0</v>
      </c>
      <c r="O138" s="5">
        <v>1076.0</v>
      </c>
      <c r="P138" s="6">
        <v>44667.0</v>
      </c>
      <c r="Q138" s="3" t="s">
        <v>31</v>
      </c>
      <c r="R138" s="3" t="s">
        <v>29</v>
      </c>
      <c r="S138" s="5">
        <v>1592016.0</v>
      </c>
      <c r="T138" s="3"/>
      <c r="U138" s="3"/>
      <c r="V138" s="3"/>
      <c r="W138" s="3"/>
      <c r="X138" s="3"/>
    </row>
    <row r="139">
      <c r="A139" s="3" t="s">
        <v>318</v>
      </c>
      <c r="B139" s="3" t="s">
        <v>319</v>
      </c>
      <c r="C139" s="3" t="s">
        <v>21</v>
      </c>
      <c r="D139" s="3" t="s">
        <v>59</v>
      </c>
      <c r="E139" s="3" t="s">
        <v>293</v>
      </c>
      <c r="F139" s="3" t="s">
        <v>31</v>
      </c>
      <c r="G139" s="3" t="s">
        <v>29</v>
      </c>
      <c r="H139" s="3" t="s">
        <v>24</v>
      </c>
      <c r="I139" s="3" t="s">
        <v>25</v>
      </c>
      <c r="J139" s="3" t="s">
        <v>30</v>
      </c>
      <c r="K139" s="3" t="s">
        <v>25</v>
      </c>
      <c r="L139" s="5">
        <v>408.0</v>
      </c>
      <c r="M139" s="5">
        <v>206.0</v>
      </c>
      <c r="N139" s="5">
        <v>300.0</v>
      </c>
      <c r="O139" s="5">
        <v>914.0</v>
      </c>
      <c r="P139" s="6">
        <v>44668.0</v>
      </c>
      <c r="Q139" s="3" t="s">
        <v>31</v>
      </c>
      <c r="R139" s="3" t="s">
        <v>29</v>
      </c>
      <c r="S139" s="5">
        <v>885462.0</v>
      </c>
      <c r="T139" s="3"/>
      <c r="U139" s="3"/>
      <c r="V139" s="3"/>
      <c r="W139" s="3"/>
      <c r="X139" s="3"/>
    </row>
    <row r="140">
      <c r="A140" s="3" t="s">
        <v>320</v>
      </c>
      <c r="B140" s="3" t="s">
        <v>321</v>
      </c>
      <c r="C140" s="3" t="s">
        <v>21</v>
      </c>
      <c r="D140" s="3" t="s">
        <v>22</v>
      </c>
      <c r="E140" s="3" t="s">
        <v>293</v>
      </c>
      <c r="F140" s="3" t="s">
        <v>24</v>
      </c>
      <c r="G140" s="3" t="s">
        <v>25</v>
      </c>
      <c r="H140" s="3" t="s">
        <v>24</v>
      </c>
      <c r="I140" s="3" t="s">
        <v>25</v>
      </c>
      <c r="J140" s="3" t="s">
        <v>24</v>
      </c>
      <c r="K140" s="3" t="s">
        <v>25</v>
      </c>
      <c r="L140" s="5">
        <v>295.0</v>
      </c>
      <c r="M140" s="5">
        <v>259.0</v>
      </c>
      <c r="N140" s="5">
        <v>220.0</v>
      </c>
      <c r="O140" s="5">
        <v>774.0</v>
      </c>
      <c r="P140" s="6">
        <v>44670.0</v>
      </c>
      <c r="Q140" s="3" t="s">
        <v>30</v>
      </c>
      <c r="R140" s="3" t="s">
        <v>25</v>
      </c>
      <c r="S140" s="5">
        <v>89800.0</v>
      </c>
      <c r="T140" s="3"/>
      <c r="U140" s="3"/>
      <c r="V140" s="3"/>
      <c r="W140" s="3"/>
      <c r="X140" s="3"/>
    </row>
    <row r="141">
      <c r="A141" s="3" t="s">
        <v>322</v>
      </c>
      <c r="B141" s="3" t="s">
        <v>323</v>
      </c>
      <c r="C141" s="3" t="s">
        <v>21</v>
      </c>
      <c r="D141" s="3" t="s">
        <v>22</v>
      </c>
      <c r="E141" s="3" t="s">
        <v>293</v>
      </c>
      <c r="F141" s="3" t="s">
        <v>24</v>
      </c>
      <c r="G141" s="3" t="s">
        <v>25</v>
      </c>
      <c r="H141" s="3" t="s">
        <v>24</v>
      </c>
      <c r="I141" s="3" t="s">
        <v>25</v>
      </c>
      <c r="J141" s="3" t="s">
        <v>24</v>
      </c>
      <c r="K141" s="3" t="s">
        <v>25</v>
      </c>
      <c r="L141" s="5">
        <v>293.0</v>
      </c>
      <c r="M141" s="5">
        <v>236.0</v>
      </c>
      <c r="N141" s="5">
        <v>220.0</v>
      </c>
      <c r="O141" s="5">
        <v>749.0</v>
      </c>
      <c r="P141" s="6">
        <v>44669.0</v>
      </c>
      <c r="Q141" s="3" t="s">
        <v>24</v>
      </c>
      <c r="R141" s="3" t="s">
        <v>25</v>
      </c>
      <c r="S141" s="5">
        <v>79879.0</v>
      </c>
      <c r="T141" s="3"/>
      <c r="U141" s="3"/>
      <c r="V141" s="3"/>
      <c r="W141" s="3"/>
      <c r="X141" s="3"/>
    </row>
    <row r="142">
      <c r="A142" s="3" t="s">
        <v>324</v>
      </c>
      <c r="B142" s="3" t="s">
        <v>325</v>
      </c>
      <c r="C142" s="3" t="s">
        <v>21</v>
      </c>
      <c r="D142" s="3" t="s">
        <v>22</v>
      </c>
      <c r="E142" s="3" t="s">
        <v>293</v>
      </c>
      <c r="F142" s="3" t="s">
        <v>24</v>
      </c>
      <c r="G142" s="3" t="s">
        <v>25</v>
      </c>
      <c r="H142" s="3" t="s">
        <v>24</v>
      </c>
      <c r="I142" s="3" t="s">
        <v>25</v>
      </c>
      <c r="J142" s="3" t="s">
        <v>24</v>
      </c>
      <c r="K142" s="3" t="s">
        <v>25</v>
      </c>
      <c r="L142" s="5">
        <v>210.0</v>
      </c>
      <c r="M142" s="5">
        <v>240.0</v>
      </c>
      <c r="N142" s="5">
        <v>275.0</v>
      </c>
      <c r="O142" s="5">
        <v>725.0</v>
      </c>
      <c r="P142" s="6">
        <v>44671.0</v>
      </c>
      <c r="Q142" s="3" t="s">
        <v>24</v>
      </c>
      <c r="R142" s="3" t="s">
        <v>25</v>
      </c>
      <c r="S142" s="5">
        <v>1707925.0</v>
      </c>
      <c r="T142" s="3"/>
      <c r="U142" s="3"/>
      <c r="V142" s="3"/>
      <c r="W142" s="3"/>
      <c r="X142" s="3"/>
    </row>
    <row r="143">
      <c r="A143" s="3" t="s">
        <v>326</v>
      </c>
      <c r="B143" s="3" t="s">
        <v>327</v>
      </c>
      <c r="C143" s="3" t="s">
        <v>21</v>
      </c>
      <c r="D143" s="3" t="s">
        <v>59</v>
      </c>
      <c r="E143" s="3" t="s">
        <v>293</v>
      </c>
      <c r="F143" s="3" t="s">
        <v>24</v>
      </c>
      <c r="G143" s="3" t="s">
        <v>25</v>
      </c>
      <c r="H143" s="3" t="s">
        <v>24</v>
      </c>
      <c r="I143" s="3" t="s">
        <v>25</v>
      </c>
      <c r="J143" s="3" t="s">
        <v>30</v>
      </c>
      <c r="K143" s="3" t="s">
        <v>25</v>
      </c>
      <c r="L143" s="5">
        <v>205.0</v>
      </c>
      <c r="M143" s="5">
        <v>201.0</v>
      </c>
      <c r="N143" s="5">
        <v>300.0</v>
      </c>
      <c r="O143" s="5">
        <v>706.0</v>
      </c>
      <c r="P143" s="6">
        <v>44667.0</v>
      </c>
      <c r="Q143" s="3" t="s">
        <v>24</v>
      </c>
      <c r="R143" s="3" t="s">
        <v>25</v>
      </c>
      <c r="S143" s="5">
        <v>1515156.0</v>
      </c>
      <c r="T143" s="3"/>
      <c r="U143" s="3"/>
      <c r="V143" s="3"/>
      <c r="W143" s="3"/>
      <c r="X143" s="3"/>
    </row>
    <row r="144">
      <c r="A144" s="3" t="s">
        <v>328</v>
      </c>
      <c r="B144" s="3" t="s">
        <v>329</v>
      </c>
      <c r="C144" s="3" t="s">
        <v>21</v>
      </c>
      <c r="D144" s="3" t="s">
        <v>22</v>
      </c>
      <c r="E144" s="3" t="s">
        <v>293</v>
      </c>
      <c r="F144" s="3" t="s">
        <v>24</v>
      </c>
      <c r="G144" s="3" t="s">
        <v>25</v>
      </c>
      <c r="H144" s="3" t="s">
        <v>24</v>
      </c>
      <c r="I144" s="3" t="s">
        <v>25</v>
      </c>
      <c r="J144" s="3" t="s">
        <v>24</v>
      </c>
      <c r="K144" s="3" t="s">
        <v>25</v>
      </c>
      <c r="L144" s="5">
        <v>225.0</v>
      </c>
      <c r="M144" s="5">
        <v>201.0</v>
      </c>
      <c r="N144" s="5">
        <v>200.0</v>
      </c>
      <c r="O144" s="5">
        <v>626.0</v>
      </c>
      <c r="P144" s="6">
        <v>44668.0</v>
      </c>
      <c r="Q144" s="3" t="s">
        <v>24</v>
      </c>
      <c r="R144" s="3" t="s">
        <v>25</v>
      </c>
      <c r="S144" s="5">
        <v>1751788.0</v>
      </c>
      <c r="T144" s="3"/>
      <c r="U144" s="3"/>
      <c r="V144" s="3"/>
      <c r="W144" s="3"/>
      <c r="X144" s="3"/>
    </row>
    <row r="145">
      <c r="A145" s="3" t="s">
        <v>330</v>
      </c>
      <c r="B145" s="3" t="s">
        <v>331</v>
      </c>
      <c r="C145" s="3" t="s">
        <v>21</v>
      </c>
      <c r="D145" s="3" t="s">
        <v>22</v>
      </c>
      <c r="E145" s="3" t="s">
        <v>332</v>
      </c>
      <c r="F145" s="3" t="s">
        <v>147</v>
      </c>
      <c r="G145" s="3" t="s">
        <v>148</v>
      </c>
      <c r="H145" s="3" t="s">
        <v>31</v>
      </c>
      <c r="I145" s="3" t="s">
        <v>29</v>
      </c>
      <c r="J145" s="3" t="s">
        <v>24</v>
      </c>
      <c r="K145" s="3" t="s">
        <v>25</v>
      </c>
      <c r="L145" s="5">
        <v>613.0</v>
      </c>
      <c r="M145" s="5">
        <v>408.0</v>
      </c>
      <c r="N145" s="5">
        <v>285.0</v>
      </c>
      <c r="O145" s="5">
        <v>1306.0</v>
      </c>
      <c r="P145" s="6">
        <v>44670.0</v>
      </c>
      <c r="Q145" s="3" t="s">
        <v>28</v>
      </c>
      <c r="R145" s="3" t="s">
        <v>29</v>
      </c>
      <c r="S145" s="5">
        <v>823768.0</v>
      </c>
      <c r="T145" s="3"/>
      <c r="U145" s="3"/>
      <c r="V145" s="3"/>
      <c r="W145" s="3"/>
      <c r="X145" s="3"/>
    </row>
    <row r="146">
      <c r="A146" s="3" t="s">
        <v>333</v>
      </c>
      <c r="B146" s="3" t="s">
        <v>334</v>
      </c>
      <c r="C146" s="3" t="s">
        <v>21</v>
      </c>
      <c r="D146" s="3" t="s">
        <v>59</v>
      </c>
      <c r="E146" s="3" t="s">
        <v>332</v>
      </c>
      <c r="F146" s="3" t="s">
        <v>28</v>
      </c>
      <c r="G146" s="3" t="s">
        <v>29</v>
      </c>
      <c r="H146" s="3" t="s">
        <v>31</v>
      </c>
      <c r="I146" s="3" t="s">
        <v>29</v>
      </c>
      <c r="J146" s="3" t="s">
        <v>30</v>
      </c>
      <c r="K146" s="3" t="s">
        <v>25</v>
      </c>
      <c r="L146" s="5">
        <v>525.0</v>
      </c>
      <c r="M146" s="5">
        <v>400.0</v>
      </c>
      <c r="N146" s="5">
        <v>300.0</v>
      </c>
      <c r="O146" s="5">
        <v>1225.0</v>
      </c>
      <c r="P146" s="6">
        <v>44668.0</v>
      </c>
      <c r="Q146" s="3" t="s">
        <v>28</v>
      </c>
      <c r="R146" s="3" t="s">
        <v>29</v>
      </c>
      <c r="S146" s="5">
        <v>1403431.0</v>
      </c>
      <c r="T146" s="3"/>
      <c r="U146" s="3"/>
      <c r="V146" s="3"/>
      <c r="W146" s="3"/>
      <c r="X146" s="3"/>
    </row>
    <row r="147">
      <c r="A147" s="3" t="s">
        <v>335</v>
      </c>
      <c r="B147" s="3" t="s">
        <v>336</v>
      </c>
      <c r="C147" s="3" t="s">
        <v>21</v>
      </c>
      <c r="D147" s="3" t="s">
        <v>22</v>
      </c>
      <c r="E147" s="3" t="s">
        <v>332</v>
      </c>
      <c r="F147" s="3" t="s">
        <v>28</v>
      </c>
      <c r="G147" s="3" t="s">
        <v>29</v>
      </c>
      <c r="H147" s="3" t="s">
        <v>30</v>
      </c>
      <c r="I147" s="3" t="s">
        <v>25</v>
      </c>
      <c r="J147" s="3" t="s">
        <v>30</v>
      </c>
      <c r="K147" s="3" t="s">
        <v>25</v>
      </c>
      <c r="L147" s="5">
        <v>500.0</v>
      </c>
      <c r="M147" s="5">
        <v>300.0</v>
      </c>
      <c r="N147" s="5">
        <v>305.0</v>
      </c>
      <c r="O147" s="5">
        <v>1105.0</v>
      </c>
      <c r="P147" s="6">
        <v>44670.0</v>
      </c>
      <c r="Q147" s="3" t="s">
        <v>31</v>
      </c>
      <c r="R147" s="3" t="s">
        <v>29</v>
      </c>
      <c r="S147" s="5">
        <v>84839.0</v>
      </c>
      <c r="T147" s="3"/>
      <c r="U147" s="3"/>
      <c r="V147" s="3"/>
      <c r="W147" s="3"/>
      <c r="X147" s="3"/>
    </row>
    <row r="148">
      <c r="A148" s="3" t="s">
        <v>337</v>
      </c>
      <c r="B148" s="3" t="s">
        <v>338</v>
      </c>
      <c r="C148" s="3" t="s">
        <v>21</v>
      </c>
      <c r="D148" s="3" t="s">
        <v>59</v>
      </c>
      <c r="E148" s="3" t="s">
        <v>332</v>
      </c>
      <c r="F148" s="3" t="s">
        <v>28</v>
      </c>
      <c r="G148" s="3" t="s">
        <v>29</v>
      </c>
      <c r="H148" s="3" t="s">
        <v>30</v>
      </c>
      <c r="I148" s="3" t="s">
        <v>25</v>
      </c>
      <c r="J148" s="3" t="s">
        <v>30</v>
      </c>
      <c r="K148" s="3" t="s">
        <v>25</v>
      </c>
      <c r="L148" s="5">
        <v>500.0</v>
      </c>
      <c r="M148" s="5">
        <v>300.0</v>
      </c>
      <c r="N148" s="5">
        <v>300.0</v>
      </c>
      <c r="O148" s="5">
        <v>1100.0</v>
      </c>
      <c r="P148" s="6">
        <v>44667.0</v>
      </c>
      <c r="Q148" s="3" t="s">
        <v>31</v>
      </c>
      <c r="R148" s="3" t="s">
        <v>29</v>
      </c>
      <c r="S148" s="5">
        <v>723254.0</v>
      </c>
      <c r="T148" s="3"/>
      <c r="U148" s="3"/>
      <c r="V148" s="3"/>
      <c r="W148" s="3"/>
      <c r="X148" s="3"/>
    </row>
    <row r="149">
      <c r="A149" s="3" t="s">
        <v>339</v>
      </c>
      <c r="B149" s="3" t="s">
        <v>340</v>
      </c>
      <c r="C149" s="3" t="s">
        <v>21</v>
      </c>
      <c r="D149" s="3" t="s">
        <v>59</v>
      </c>
      <c r="E149" s="3" t="s">
        <v>332</v>
      </c>
      <c r="F149" s="3" t="s">
        <v>24</v>
      </c>
      <c r="G149" s="3" t="s">
        <v>25</v>
      </c>
      <c r="H149" s="3" t="s">
        <v>24</v>
      </c>
      <c r="I149" s="3" t="s">
        <v>25</v>
      </c>
      <c r="J149" s="3" t="s">
        <v>30</v>
      </c>
      <c r="K149" s="3" t="s">
        <v>25</v>
      </c>
      <c r="L149" s="5">
        <v>235.0</v>
      </c>
      <c r="M149" s="5">
        <v>262.0</v>
      </c>
      <c r="N149" s="5">
        <v>315.0</v>
      </c>
      <c r="O149" s="5">
        <v>812.0</v>
      </c>
      <c r="P149" s="6">
        <v>44722.0</v>
      </c>
      <c r="Q149" s="3" t="s">
        <v>30</v>
      </c>
      <c r="R149" s="3" t="s">
        <v>25</v>
      </c>
      <c r="S149" s="5">
        <v>1637873.0</v>
      </c>
      <c r="T149" s="3"/>
      <c r="U149" s="3"/>
      <c r="V149" s="3"/>
      <c r="W149" s="3"/>
      <c r="X149" s="3"/>
    </row>
    <row r="150">
      <c r="A150" s="3" t="s">
        <v>341</v>
      </c>
      <c r="B150" s="3" t="s">
        <v>342</v>
      </c>
      <c r="C150" s="3" t="s">
        <v>21</v>
      </c>
      <c r="D150" s="3" t="s">
        <v>22</v>
      </c>
      <c r="E150" s="3" t="s">
        <v>332</v>
      </c>
      <c r="F150" s="3" t="s">
        <v>24</v>
      </c>
      <c r="G150" s="3" t="s">
        <v>25</v>
      </c>
      <c r="H150" s="3" t="s">
        <v>24</v>
      </c>
      <c r="I150" s="3" t="s">
        <v>25</v>
      </c>
      <c r="J150" s="3" t="s">
        <v>24</v>
      </c>
      <c r="K150" s="3" t="s">
        <v>25</v>
      </c>
      <c r="L150" s="5">
        <v>293.0</v>
      </c>
      <c r="M150" s="5">
        <v>235.0</v>
      </c>
      <c r="N150" s="5">
        <v>216.0</v>
      </c>
      <c r="O150" s="5">
        <v>744.0</v>
      </c>
      <c r="P150" s="6">
        <v>44670.0</v>
      </c>
      <c r="Q150" s="3" t="s">
        <v>24</v>
      </c>
      <c r="R150" s="3" t="s">
        <v>25</v>
      </c>
      <c r="S150" s="5">
        <v>1060391.0</v>
      </c>
      <c r="T150" s="3"/>
      <c r="U150" s="3"/>
      <c r="V150" s="3"/>
      <c r="W150" s="3"/>
      <c r="X150" s="3"/>
    </row>
    <row r="151">
      <c r="A151" s="3" t="s">
        <v>343</v>
      </c>
      <c r="B151" s="3" t="s">
        <v>344</v>
      </c>
      <c r="C151" s="3" t="s">
        <v>21</v>
      </c>
      <c r="D151" s="3" t="s">
        <v>59</v>
      </c>
      <c r="E151" s="3" t="s">
        <v>332</v>
      </c>
      <c r="F151" s="3" t="s">
        <v>24</v>
      </c>
      <c r="G151" s="3" t="s">
        <v>25</v>
      </c>
      <c r="H151" s="3" t="s">
        <v>24</v>
      </c>
      <c r="I151" s="3" t="s">
        <v>25</v>
      </c>
      <c r="J151" s="3" t="s">
        <v>24</v>
      </c>
      <c r="K151" s="3" t="s">
        <v>25</v>
      </c>
      <c r="L151" s="5">
        <v>270.0</v>
      </c>
      <c r="M151" s="5">
        <v>204.0</v>
      </c>
      <c r="N151" s="5">
        <v>205.0</v>
      </c>
      <c r="O151" s="5">
        <v>679.0</v>
      </c>
      <c r="P151" s="6">
        <v>44667.0</v>
      </c>
      <c r="Q151" s="3" t="s">
        <v>24</v>
      </c>
      <c r="R151" s="3" t="s">
        <v>25</v>
      </c>
      <c r="S151" s="5">
        <v>900075.0</v>
      </c>
      <c r="T151" s="3"/>
      <c r="U151" s="3"/>
      <c r="V151" s="3"/>
      <c r="W151" s="3"/>
      <c r="X151" s="3"/>
    </row>
    <row r="152">
      <c r="A152" s="3" t="s">
        <v>345</v>
      </c>
      <c r="B152" s="3" t="s">
        <v>346</v>
      </c>
      <c r="C152" s="3" t="s">
        <v>21</v>
      </c>
      <c r="D152" s="3" t="s">
        <v>22</v>
      </c>
      <c r="E152" s="3" t="s">
        <v>347</v>
      </c>
      <c r="F152" s="3" t="s">
        <v>28</v>
      </c>
      <c r="G152" s="3" t="s">
        <v>29</v>
      </c>
      <c r="H152" s="3" t="s">
        <v>30</v>
      </c>
      <c r="I152" s="3" t="s">
        <v>25</v>
      </c>
      <c r="J152" s="3" t="s">
        <v>30</v>
      </c>
      <c r="K152" s="3" t="s">
        <v>25</v>
      </c>
      <c r="L152" s="5">
        <v>505.0</v>
      </c>
      <c r="M152" s="5">
        <v>305.0</v>
      </c>
      <c r="N152" s="5">
        <v>347.0</v>
      </c>
      <c r="O152" s="5">
        <v>1157.0</v>
      </c>
      <c r="P152" s="6">
        <v>44669.0</v>
      </c>
      <c r="Q152" s="3" t="s">
        <v>31</v>
      </c>
      <c r="R152" s="3" t="s">
        <v>29</v>
      </c>
      <c r="S152" s="5">
        <v>68505.0</v>
      </c>
      <c r="T152" s="3"/>
      <c r="U152" s="3"/>
      <c r="V152" s="3"/>
      <c r="W152" s="3"/>
      <c r="X152" s="3"/>
    </row>
    <row r="153">
      <c r="A153" s="3" t="s">
        <v>348</v>
      </c>
      <c r="B153" s="3" t="s">
        <v>349</v>
      </c>
      <c r="C153" s="3" t="s">
        <v>21</v>
      </c>
      <c r="D153" s="3" t="s">
        <v>59</v>
      </c>
      <c r="E153" s="3" t="s">
        <v>347</v>
      </c>
      <c r="F153" s="3" t="s">
        <v>28</v>
      </c>
      <c r="G153" s="3" t="s">
        <v>29</v>
      </c>
      <c r="H153" s="3" t="s">
        <v>30</v>
      </c>
      <c r="I153" s="3" t="s">
        <v>25</v>
      </c>
      <c r="J153" s="3" t="s">
        <v>30</v>
      </c>
      <c r="K153" s="3" t="s">
        <v>25</v>
      </c>
      <c r="L153" s="5">
        <v>505.0</v>
      </c>
      <c r="M153" s="5">
        <v>337.0</v>
      </c>
      <c r="N153" s="5">
        <v>300.0</v>
      </c>
      <c r="O153" s="5">
        <v>1142.0</v>
      </c>
      <c r="P153" s="6">
        <v>44722.0</v>
      </c>
      <c r="Q153" s="3" t="s">
        <v>31</v>
      </c>
      <c r="R153" s="3" t="s">
        <v>29</v>
      </c>
      <c r="S153" s="5">
        <v>1738177.0</v>
      </c>
      <c r="T153" s="3"/>
      <c r="U153" s="3"/>
      <c r="V153" s="3"/>
      <c r="W153" s="3"/>
      <c r="X153" s="3"/>
    </row>
    <row r="154">
      <c r="A154" s="3" t="s">
        <v>350</v>
      </c>
      <c r="B154" s="3" t="s">
        <v>351</v>
      </c>
      <c r="C154" s="3" t="s">
        <v>21</v>
      </c>
      <c r="D154" s="3" t="s">
        <v>59</v>
      </c>
      <c r="E154" s="3" t="s">
        <v>347</v>
      </c>
      <c r="F154" s="3" t="s">
        <v>28</v>
      </c>
      <c r="G154" s="3" t="s">
        <v>29</v>
      </c>
      <c r="H154" s="3" t="s">
        <v>30</v>
      </c>
      <c r="I154" s="3" t="s">
        <v>25</v>
      </c>
      <c r="J154" s="3" t="s">
        <v>30</v>
      </c>
      <c r="K154" s="3" t="s">
        <v>25</v>
      </c>
      <c r="L154" s="5">
        <v>510.0</v>
      </c>
      <c r="M154" s="5">
        <v>308.0</v>
      </c>
      <c r="N154" s="5">
        <v>300.0</v>
      </c>
      <c r="O154" s="5">
        <v>1118.0</v>
      </c>
      <c r="P154" s="6">
        <v>44667.0</v>
      </c>
      <c r="Q154" s="3" t="s">
        <v>31</v>
      </c>
      <c r="R154" s="3" t="s">
        <v>29</v>
      </c>
      <c r="S154" s="5">
        <v>926282.0</v>
      </c>
      <c r="T154" s="3"/>
      <c r="U154" s="3"/>
      <c r="V154" s="3"/>
      <c r="W154" s="3"/>
      <c r="X154" s="3"/>
    </row>
    <row r="155">
      <c r="A155" s="3" t="s">
        <v>352</v>
      </c>
      <c r="B155" s="3" t="s">
        <v>353</v>
      </c>
      <c r="C155" s="3" t="s">
        <v>21</v>
      </c>
      <c r="D155" s="3" t="s">
        <v>22</v>
      </c>
      <c r="E155" s="3" t="s">
        <v>347</v>
      </c>
      <c r="F155" s="3" t="s">
        <v>31</v>
      </c>
      <c r="G155" s="3" t="s">
        <v>29</v>
      </c>
      <c r="H155" s="3" t="s">
        <v>30</v>
      </c>
      <c r="I155" s="3" t="s">
        <v>25</v>
      </c>
      <c r="J155" s="3" t="s">
        <v>24</v>
      </c>
      <c r="K155" s="3" t="s">
        <v>25</v>
      </c>
      <c r="L155" s="5">
        <v>444.0</v>
      </c>
      <c r="M155" s="5">
        <v>310.0</v>
      </c>
      <c r="N155" s="5">
        <v>295.0</v>
      </c>
      <c r="O155" s="5">
        <v>1049.0</v>
      </c>
      <c r="P155" s="6">
        <v>44667.0</v>
      </c>
      <c r="Q155" s="3" t="s">
        <v>31</v>
      </c>
      <c r="R155" s="3" t="s">
        <v>29</v>
      </c>
      <c r="S155" s="5">
        <v>1596532.0</v>
      </c>
      <c r="T155" s="3"/>
      <c r="U155" s="3"/>
      <c r="V155" s="3"/>
      <c r="W155" s="3"/>
      <c r="X155" s="3"/>
    </row>
    <row r="156">
      <c r="A156" s="3" t="s">
        <v>354</v>
      </c>
      <c r="B156" s="3" t="s">
        <v>355</v>
      </c>
      <c r="C156" s="3" t="s">
        <v>21</v>
      </c>
      <c r="D156" s="3" t="s">
        <v>59</v>
      </c>
      <c r="E156" s="3" t="s">
        <v>347</v>
      </c>
      <c r="F156" s="3" t="s">
        <v>30</v>
      </c>
      <c r="G156" s="3" t="s">
        <v>25</v>
      </c>
      <c r="H156" s="3" t="s">
        <v>30</v>
      </c>
      <c r="I156" s="3" t="s">
        <v>25</v>
      </c>
      <c r="J156" s="3" t="s">
        <v>30</v>
      </c>
      <c r="K156" s="3" t="s">
        <v>25</v>
      </c>
      <c r="L156" s="5">
        <v>340.0</v>
      </c>
      <c r="M156" s="5">
        <v>310.0</v>
      </c>
      <c r="N156" s="5">
        <v>365.0</v>
      </c>
      <c r="O156" s="5">
        <v>1015.0</v>
      </c>
      <c r="P156" s="6">
        <v>44873.0</v>
      </c>
      <c r="Q156" s="3" t="s">
        <v>31</v>
      </c>
      <c r="R156" s="3" t="s">
        <v>29</v>
      </c>
      <c r="S156" s="5">
        <v>1030471.0</v>
      </c>
      <c r="T156" s="3"/>
      <c r="U156" s="3"/>
      <c r="V156" s="3"/>
      <c r="W156" s="3"/>
      <c r="X156" s="3"/>
    </row>
    <row r="157">
      <c r="A157" s="3" t="s">
        <v>356</v>
      </c>
      <c r="B157" s="3" t="s">
        <v>357</v>
      </c>
      <c r="C157" s="3" t="s">
        <v>21</v>
      </c>
      <c r="D157" s="3" t="s">
        <v>59</v>
      </c>
      <c r="E157" s="3" t="s">
        <v>347</v>
      </c>
      <c r="F157" s="3" t="s">
        <v>30</v>
      </c>
      <c r="G157" s="3" t="s">
        <v>25</v>
      </c>
      <c r="H157" s="3" t="s">
        <v>24</v>
      </c>
      <c r="I157" s="3" t="s">
        <v>25</v>
      </c>
      <c r="J157" s="3" t="s">
        <v>24</v>
      </c>
      <c r="K157" s="3" t="s">
        <v>25</v>
      </c>
      <c r="L157" s="5">
        <v>370.0</v>
      </c>
      <c r="M157" s="5">
        <v>228.0</v>
      </c>
      <c r="N157" s="5">
        <v>210.0</v>
      </c>
      <c r="O157" s="5">
        <v>808.0</v>
      </c>
      <c r="P157" s="6">
        <v>44667.0</v>
      </c>
      <c r="Q157" s="3" t="s">
        <v>30</v>
      </c>
      <c r="R157" s="3" t="s">
        <v>25</v>
      </c>
      <c r="S157" s="5">
        <v>840715.0</v>
      </c>
      <c r="T157" s="3"/>
      <c r="U157" s="3"/>
      <c r="V157" s="3"/>
      <c r="W157" s="3"/>
      <c r="X157" s="3"/>
    </row>
    <row r="158">
      <c r="A158" s="3" t="s">
        <v>358</v>
      </c>
      <c r="B158" s="3" t="s">
        <v>359</v>
      </c>
      <c r="C158" s="3" t="s">
        <v>21</v>
      </c>
      <c r="D158" s="3" t="s">
        <v>59</v>
      </c>
      <c r="E158" s="3" t="s">
        <v>347</v>
      </c>
      <c r="F158" s="3" t="s">
        <v>30</v>
      </c>
      <c r="G158" s="3" t="s">
        <v>25</v>
      </c>
      <c r="H158" s="3" t="s">
        <v>24</v>
      </c>
      <c r="I158" s="3" t="s">
        <v>25</v>
      </c>
      <c r="J158" s="3" t="s">
        <v>24</v>
      </c>
      <c r="K158" s="3" t="s">
        <v>25</v>
      </c>
      <c r="L158" s="5">
        <v>311.0</v>
      </c>
      <c r="M158" s="5">
        <v>256.0</v>
      </c>
      <c r="N158" s="5">
        <v>218.0</v>
      </c>
      <c r="O158" s="5">
        <v>785.0</v>
      </c>
      <c r="P158" s="6">
        <v>44667.0</v>
      </c>
      <c r="Q158" s="3" t="s">
        <v>30</v>
      </c>
      <c r="R158" s="3" t="s">
        <v>25</v>
      </c>
      <c r="S158" s="5">
        <v>1158114.0</v>
      </c>
      <c r="T158" s="3"/>
      <c r="U158" s="3"/>
      <c r="V158" s="3"/>
      <c r="W158" s="3"/>
      <c r="X158" s="3"/>
    </row>
    <row r="159">
      <c r="A159" s="3" t="s">
        <v>360</v>
      </c>
      <c r="B159" s="3" t="s">
        <v>361</v>
      </c>
      <c r="C159" s="3" t="s">
        <v>21</v>
      </c>
      <c r="D159" s="3" t="s">
        <v>59</v>
      </c>
      <c r="E159" s="3" t="s">
        <v>347</v>
      </c>
      <c r="F159" s="3" t="s">
        <v>24</v>
      </c>
      <c r="G159" s="3" t="s">
        <v>25</v>
      </c>
      <c r="H159" s="3" t="s">
        <v>24</v>
      </c>
      <c r="I159" s="3" t="s">
        <v>25</v>
      </c>
      <c r="J159" s="3" t="s">
        <v>24</v>
      </c>
      <c r="K159" s="3" t="s">
        <v>25</v>
      </c>
      <c r="L159" s="5">
        <v>280.0</v>
      </c>
      <c r="M159" s="5">
        <v>234.0</v>
      </c>
      <c r="N159" s="5">
        <v>220.0</v>
      </c>
      <c r="O159" s="5">
        <v>734.0</v>
      </c>
      <c r="P159" s="6">
        <v>44723.0</v>
      </c>
      <c r="Q159" s="3" t="s">
        <v>24</v>
      </c>
      <c r="R159" s="3" t="s">
        <v>25</v>
      </c>
      <c r="S159" s="5">
        <v>858877.0</v>
      </c>
      <c r="T159" s="3"/>
      <c r="U159" s="3"/>
      <c r="V159" s="3"/>
      <c r="W159" s="3"/>
      <c r="X159" s="3"/>
    </row>
    <row r="160">
      <c r="A160" s="3" t="s">
        <v>362</v>
      </c>
      <c r="B160" s="3" t="s">
        <v>363</v>
      </c>
      <c r="C160" s="3" t="s">
        <v>21</v>
      </c>
      <c r="D160" s="3" t="s">
        <v>59</v>
      </c>
      <c r="E160" s="3" t="s">
        <v>347</v>
      </c>
      <c r="F160" s="3" t="s">
        <v>24</v>
      </c>
      <c r="G160" s="3" t="s">
        <v>25</v>
      </c>
      <c r="H160" s="3" t="s">
        <v>24</v>
      </c>
      <c r="I160" s="3" t="s">
        <v>25</v>
      </c>
      <c r="J160" s="3" t="s">
        <v>24</v>
      </c>
      <c r="K160" s="3" t="s">
        <v>25</v>
      </c>
      <c r="L160" s="5">
        <v>200.0</v>
      </c>
      <c r="M160" s="5">
        <v>221.0</v>
      </c>
      <c r="N160" s="5">
        <v>215.0</v>
      </c>
      <c r="O160" s="5">
        <v>636.0</v>
      </c>
      <c r="P160" s="6">
        <v>44668.0</v>
      </c>
      <c r="Q160" s="3" t="s">
        <v>24</v>
      </c>
      <c r="R160" s="3" t="s">
        <v>25</v>
      </c>
      <c r="S160" s="5">
        <v>1048695.0</v>
      </c>
      <c r="T160" s="3"/>
      <c r="U160" s="3"/>
      <c r="V160" s="3"/>
      <c r="W160" s="3"/>
      <c r="X160" s="3"/>
    </row>
    <row r="161">
      <c r="A161" s="3" t="s">
        <v>364</v>
      </c>
      <c r="B161" s="3" t="s">
        <v>365</v>
      </c>
      <c r="C161" s="3" t="s">
        <v>21</v>
      </c>
      <c r="D161" s="3" t="s">
        <v>59</v>
      </c>
      <c r="E161" s="3" t="s">
        <v>366</v>
      </c>
      <c r="F161" s="3" t="s">
        <v>28</v>
      </c>
      <c r="G161" s="3" t="s">
        <v>29</v>
      </c>
      <c r="H161" s="3" t="s">
        <v>30</v>
      </c>
      <c r="I161" s="3" t="s">
        <v>25</v>
      </c>
      <c r="J161" s="3" t="s">
        <v>24</v>
      </c>
      <c r="K161" s="3" t="s">
        <v>25</v>
      </c>
      <c r="L161" s="5">
        <v>589.0</v>
      </c>
      <c r="M161" s="5">
        <v>390.0</v>
      </c>
      <c r="N161" s="5">
        <v>277.0</v>
      </c>
      <c r="O161" s="5">
        <v>1256.0</v>
      </c>
      <c r="P161" s="6">
        <v>44669.0</v>
      </c>
      <c r="Q161" s="3" t="s">
        <v>28</v>
      </c>
      <c r="R161" s="3" t="s">
        <v>29</v>
      </c>
      <c r="S161" s="5">
        <v>866273.0</v>
      </c>
      <c r="T161" s="3"/>
      <c r="U161" s="3"/>
      <c r="V161" s="3"/>
      <c r="W161" s="3"/>
      <c r="X161" s="3"/>
    </row>
    <row r="162">
      <c r="A162" s="3" t="s">
        <v>367</v>
      </c>
      <c r="B162" s="3" t="s">
        <v>368</v>
      </c>
      <c r="C162" s="3" t="s">
        <v>21</v>
      </c>
      <c r="D162" s="3" t="s">
        <v>22</v>
      </c>
      <c r="E162" s="3" t="s">
        <v>366</v>
      </c>
      <c r="F162" s="3" t="s">
        <v>28</v>
      </c>
      <c r="G162" s="3" t="s">
        <v>29</v>
      </c>
      <c r="H162" s="3" t="s">
        <v>30</v>
      </c>
      <c r="I162" s="3" t="s">
        <v>25</v>
      </c>
      <c r="J162" s="3" t="s">
        <v>30</v>
      </c>
      <c r="K162" s="3" t="s">
        <v>25</v>
      </c>
      <c r="L162" s="5">
        <v>540.0</v>
      </c>
      <c r="M162" s="5">
        <v>382.0</v>
      </c>
      <c r="N162" s="5">
        <v>310.0</v>
      </c>
      <c r="O162" s="5">
        <v>1232.0</v>
      </c>
      <c r="P162" s="6">
        <v>44670.0</v>
      </c>
      <c r="Q162" s="3" t="s">
        <v>28</v>
      </c>
      <c r="R162" s="3" t="s">
        <v>29</v>
      </c>
      <c r="S162" s="5">
        <v>1050915.0</v>
      </c>
      <c r="T162" s="3"/>
      <c r="U162" s="3"/>
      <c r="V162" s="3"/>
      <c r="W162" s="3"/>
      <c r="X162" s="3"/>
    </row>
    <row r="163">
      <c r="A163" s="3" t="s">
        <v>369</v>
      </c>
      <c r="B163" s="3" t="s">
        <v>370</v>
      </c>
      <c r="C163" s="3" t="s">
        <v>21</v>
      </c>
      <c r="D163" s="3" t="s">
        <v>22</v>
      </c>
      <c r="E163" s="3" t="s">
        <v>366</v>
      </c>
      <c r="F163" s="3" t="s">
        <v>28</v>
      </c>
      <c r="G163" s="3" t="s">
        <v>29</v>
      </c>
      <c r="H163" s="3" t="s">
        <v>30</v>
      </c>
      <c r="I163" s="3" t="s">
        <v>25</v>
      </c>
      <c r="J163" s="3" t="s">
        <v>30</v>
      </c>
      <c r="K163" s="3" t="s">
        <v>25</v>
      </c>
      <c r="L163" s="5">
        <v>570.0</v>
      </c>
      <c r="M163" s="5">
        <v>319.0</v>
      </c>
      <c r="N163" s="5">
        <v>300.0</v>
      </c>
      <c r="O163" s="5">
        <v>1189.0</v>
      </c>
      <c r="P163" s="6">
        <v>44670.0</v>
      </c>
      <c r="Q163" s="3" t="s">
        <v>31</v>
      </c>
      <c r="R163" s="3" t="s">
        <v>29</v>
      </c>
      <c r="S163" s="5">
        <v>1396009.0</v>
      </c>
      <c r="T163" s="3"/>
      <c r="U163" s="3"/>
      <c r="V163" s="3"/>
      <c r="W163" s="3"/>
      <c r="X163" s="3"/>
    </row>
    <row r="164">
      <c r="A164" s="3" t="s">
        <v>371</v>
      </c>
      <c r="B164" s="3" t="s">
        <v>372</v>
      </c>
      <c r="C164" s="3" t="s">
        <v>21</v>
      </c>
      <c r="D164" s="3" t="s">
        <v>22</v>
      </c>
      <c r="E164" s="3" t="s">
        <v>366</v>
      </c>
      <c r="F164" s="3" t="s">
        <v>28</v>
      </c>
      <c r="G164" s="3" t="s">
        <v>29</v>
      </c>
      <c r="H164" s="3" t="s">
        <v>30</v>
      </c>
      <c r="I164" s="3" t="s">
        <v>25</v>
      </c>
      <c r="J164" s="3" t="s">
        <v>30</v>
      </c>
      <c r="K164" s="3" t="s">
        <v>25</v>
      </c>
      <c r="L164" s="5">
        <v>573.0</v>
      </c>
      <c r="M164" s="5">
        <v>313.0</v>
      </c>
      <c r="N164" s="5">
        <v>300.0</v>
      </c>
      <c r="O164" s="5">
        <v>1186.0</v>
      </c>
      <c r="P164" s="6">
        <v>44669.0</v>
      </c>
      <c r="Q164" s="3" t="s">
        <v>31</v>
      </c>
      <c r="R164" s="3" t="s">
        <v>29</v>
      </c>
      <c r="S164" s="5">
        <v>916076.0</v>
      </c>
      <c r="T164" s="3"/>
      <c r="U164" s="3"/>
      <c r="V164" s="3"/>
      <c r="W164" s="3"/>
      <c r="X164" s="3"/>
    </row>
    <row r="165">
      <c r="A165" s="3" t="s">
        <v>373</v>
      </c>
      <c r="B165" s="3" t="s">
        <v>374</v>
      </c>
      <c r="C165" s="3" t="s">
        <v>21</v>
      </c>
      <c r="D165" s="3" t="s">
        <v>59</v>
      </c>
      <c r="E165" s="3" t="s">
        <v>366</v>
      </c>
      <c r="F165" s="3" t="s">
        <v>28</v>
      </c>
      <c r="G165" s="3" t="s">
        <v>29</v>
      </c>
      <c r="H165" s="3" t="s">
        <v>24</v>
      </c>
      <c r="I165" s="3" t="s">
        <v>25</v>
      </c>
      <c r="J165" s="3" t="s">
        <v>30</v>
      </c>
      <c r="K165" s="3" t="s">
        <v>25</v>
      </c>
      <c r="L165" s="5">
        <v>500.0</v>
      </c>
      <c r="M165" s="5">
        <v>233.0</v>
      </c>
      <c r="N165" s="5">
        <v>300.0</v>
      </c>
      <c r="O165" s="5">
        <v>1033.0</v>
      </c>
      <c r="P165" s="6">
        <v>44873.0</v>
      </c>
      <c r="Q165" s="3" t="s">
        <v>31</v>
      </c>
      <c r="R165" s="3" t="s">
        <v>29</v>
      </c>
      <c r="S165" s="5">
        <v>82020.0</v>
      </c>
      <c r="T165" s="3"/>
      <c r="U165" s="3"/>
      <c r="V165" s="3"/>
      <c r="W165" s="3"/>
      <c r="X165" s="3"/>
    </row>
    <row r="166">
      <c r="A166" s="3" t="s">
        <v>375</v>
      </c>
      <c r="B166" s="3" t="s">
        <v>376</v>
      </c>
      <c r="C166" s="3" t="s">
        <v>21</v>
      </c>
      <c r="D166" s="3" t="s">
        <v>22</v>
      </c>
      <c r="E166" s="3" t="s">
        <v>366</v>
      </c>
      <c r="F166" s="3" t="s">
        <v>24</v>
      </c>
      <c r="G166" s="3" t="s">
        <v>25</v>
      </c>
      <c r="H166" s="3" t="s">
        <v>24</v>
      </c>
      <c r="I166" s="3" t="s">
        <v>25</v>
      </c>
      <c r="J166" s="3" t="s">
        <v>24</v>
      </c>
      <c r="K166" s="3" t="s">
        <v>25</v>
      </c>
      <c r="L166" s="5">
        <v>200.0</v>
      </c>
      <c r="M166" s="5">
        <v>200.0</v>
      </c>
      <c r="N166" s="5">
        <v>200.0</v>
      </c>
      <c r="O166" s="5">
        <v>600.0</v>
      </c>
      <c r="P166" s="6">
        <v>44872.0</v>
      </c>
      <c r="Q166" s="3" t="s">
        <v>24</v>
      </c>
      <c r="R166" s="3" t="s">
        <v>25</v>
      </c>
      <c r="S166" s="5">
        <v>861459.0</v>
      </c>
      <c r="T166" s="3"/>
      <c r="U166" s="3"/>
      <c r="V166" s="3"/>
      <c r="W166" s="3"/>
      <c r="X166" s="3"/>
    </row>
    <row r="167">
      <c r="A167" s="3" t="s">
        <v>377</v>
      </c>
      <c r="B167" s="3" t="s">
        <v>378</v>
      </c>
      <c r="C167" s="3" t="s">
        <v>21</v>
      </c>
      <c r="D167" s="3" t="s">
        <v>22</v>
      </c>
      <c r="E167" s="3" t="s">
        <v>379</v>
      </c>
      <c r="F167" s="3" t="s">
        <v>28</v>
      </c>
      <c r="G167" s="3" t="s">
        <v>29</v>
      </c>
      <c r="H167" s="3" t="s">
        <v>31</v>
      </c>
      <c r="I167" s="3" t="s">
        <v>29</v>
      </c>
      <c r="J167" s="3" t="s">
        <v>30</v>
      </c>
      <c r="K167" s="3" t="s">
        <v>25</v>
      </c>
      <c r="L167" s="5">
        <v>560.0</v>
      </c>
      <c r="M167" s="5">
        <v>422.0</v>
      </c>
      <c r="N167" s="5">
        <v>310.0</v>
      </c>
      <c r="O167" s="5">
        <v>1292.0</v>
      </c>
      <c r="P167" s="6">
        <v>44669.0</v>
      </c>
      <c r="Q167" s="3" t="s">
        <v>28</v>
      </c>
      <c r="R167" s="3" t="s">
        <v>29</v>
      </c>
      <c r="S167" s="5">
        <v>80424.0</v>
      </c>
      <c r="T167" s="3"/>
      <c r="U167" s="3"/>
      <c r="V167" s="3"/>
      <c r="W167" s="3"/>
      <c r="X167" s="3"/>
    </row>
    <row r="168">
      <c r="A168" s="3" t="s">
        <v>380</v>
      </c>
      <c r="B168" s="3" t="s">
        <v>381</v>
      </c>
      <c r="C168" s="3" t="s">
        <v>21</v>
      </c>
      <c r="D168" s="3" t="s">
        <v>22</v>
      </c>
      <c r="E168" s="3" t="s">
        <v>379</v>
      </c>
      <c r="F168" s="3" t="s">
        <v>28</v>
      </c>
      <c r="G168" s="3" t="s">
        <v>29</v>
      </c>
      <c r="H168" s="3" t="s">
        <v>30</v>
      </c>
      <c r="I168" s="3" t="s">
        <v>25</v>
      </c>
      <c r="J168" s="3" t="s">
        <v>30</v>
      </c>
      <c r="K168" s="3" t="s">
        <v>25</v>
      </c>
      <c r="L168" s="5">
        <v>578.0</v>
      </c>
      <c r="M168" s="5">
        <v>341.0</v>
      </c>
      <c r="N168" s="5">
        <v>348.0</v>
      </c>
      <c r="O168" s="5">
        <v>1267.0</v>
      </c>
      <c r="P168" s="6">
        <v>44667.0</v>
      </c>
      <c r="Q168" s="3" t="s">
        <v>28</v>
      </c>
      <c r="R168" s="3" t="s">
        <v>29</v>
      </c>
      <c r="S168" s="5">
        <v>313927.0</v>
      </c>
      <c r="T168" s="3"/>
      <c r="U168" s="3"/>
      <c r="V168" s="3"/>
      <c r="W168" s="3"/>
      <c r="X168" s="3"/>
    </row>
    <row r="169">
      <c r="A169" s="3" t="s">
        <v>382</v>
      </c>
      <c r="B169" s="3" t="s">
        <v>383</v>
      </c>
      <c r="C169" s="3" t="s">
        <v>21</v>
      </c>
      <c r="D169" s="3" t="s">
        <v>22</v>
      </c>
      <c r="E169" s="3" t="s">
        <v>379</v>
      </c>
      <c r="F169" s="3" t="s">
        <v>28</v>
      </c>
      <c r="G169" s="3" t="s">
        <v>29</v>
      </c>
      <c r="H169" s="3" t="s">
        <v>30</v>
      </c>
      <c r="I169" s="3" t="s">
        <v>25</v>
      </c>
      <c r="J169" s="3" t="s">
        <v>30</v>
      </c>
      <c r="K169" s="3" t="s">
        <v>25</v>
      </c>
      <c r="L169" s="5">
        <v>560.0</v>
      </c>
      <c r="M169" s="5">
        <v>350.0</v>
      </c>
      <c r="N169" s="5">
        <v>345.0</v>
      </c>
      <c r="O169" s="5">
        <v>1255.0</v>
      </c>
      <c r="P169" s="6">
        <v>44667.0</v>
      </c>
      <c r="Q169" s="3" t="s">
        <v>28</v>
      </c>
      <c r="R169" s="3" t="s">
        <v>29</v>
      </c>
      <c r="S169" s="5">
        <v>21076.0</v>
      </c>
      <c r="T169" s="3"/>
      <c r="U169" s="3"/>
      <c r="V169" s="3"/>
      <c r="W169" s="3"/>
      <c r="X169" s="3"/>
    </row>
    <row r="170">
      <c r="A170" s="3" t="s">
        <v>384</v>
      </c>
      <c r="B170" s="3" t="s">
        <v>385</v>
      </c>
      <c r="C170" s="3" t="s">
        <v>21</v>
      </c>
      <c r="D170" s="3" t="s">
        <v>22</v>
      </c>
      <c r="E170" s="3" t="s">
        <v>379</v>
      </c>
      <c r="F170" s="3" t="s">
        <v>28</v>
      </c>
      <c r="G170" s="3" t="s">
        <v>29</v>
      </c>
      <c r="H170" s="3" t="s">
        <v>24</v>
      </c>
      <c r="I170" s="3" t="s">
        <v>25</v>
      </c>
      <c r="J170" s="3" t="s">
        <v>30</v>
      </c>
      <c r="K170" s="3" t="s">
        <v>25</v>
      </c>
      <c r="L170" s="5">
        <v>570.0</v>
      </c>
      <c r="M170" s="5">
        <v>298.0</v>
      </c>
      <c r="N170" s="5">
        <v>303.0</v>
      </c>
      <c r="O170" s="5">
        <v>1171.0</v>
      </c>
      <c r="P170" s="6">
        <v>44669.0</v>
      </c>
      <c r="Q170" s="3" t="s">
        <v>31</v>
      </c>
      <c r="R170" s="3" t="s">
        <v>29</v>
      </c>
      <c r="S170" s="5">
        <v>851968.0</v>
      </c>
      <c r="T170" s="3"/>
      <c r="U170" s="3"/>
      <c r="V170" s="3"/>
      <c r="W170" s="3"/>
      <c r="X170" s="3"/>
    </row>
    <row r="171">
      <c r="A171" s="3" t="s">
        <v>386</v>
      </c>
      <c r="B171" s="3" t="s">
        <v>387</v>
      </c>
      <c r="C171" s="3" t="s">
        <v>21</v>
      </c>
      <c r="D171" s="3" t="s">
        <v>59</v>
      </c>
      <c r="E171" s="3" t="s">
        <v>379</v>
      </c>
      <c r="F171" s="3" t="s">
        <v>28</v>
      </c>
      <c r="G171" s="3" t="s">
        <v>29</v>
      </c>
      <c r="H171" s="3" t="s">
        <v>30</v>
      </c>
      <c r="I171" s="3" t="s">
        <v>25</v>
      </c>
      <c r="J171" s="3" t="s">
        <v>30</v>
      </c>
      <c r="K171" s="3" t="s">
        <v>25</v>
      </c>
      <c r="L171" s="5">
        <v>525.0</v>
      </c>
      <c r="M171" s="5">
        <v>303.0</v>
      </c>
      <c r="N171" s="5">
        <v>315.0</v>
      </c>
      <c r="O171" s="5">
        <v>1143.0</v>
      </c>
      <c r="P171" s="6">
        <v>44669.0</v>
      </c>
      <c r="Q171" s="3" t="s">
        <v>31</v>
      </c>
      <c r="R171" s="3" t="s">
        <v>29</v>
      </c>
      <c r="S171" s="5">
        <v>814453.0</v>
      </c>
      <c r="T171" s="3"/>
      <c r="U171" s="3"/>
      <c r="V171" s="3"/>
      <c r="W171" s="3"/>
      <c r="X171" s="3"/>
    </row>
    <row r="172">
      <c r="A172" s="3" t="s">
        <v>388</v>
      </c>
      <c r="B172" s="3" t="s">
        <v>389</v>
      </c>
      <c r="C172" s="3" t="s">
        <v>21</v>
      </c>
      <c r="D172" s="3" t="s">
        <v>22</v>
      </c>
      <c r="E172" s="3" t="s">
        <v>379</v>
      </c>
      <c r="F172" s="3" t="s">
        <v>28</v>
      </c>
      <c r="G172" s="3" t="s">
        <v>29</v>
      </c>
      <c r="H172" s="3" t="s">
        <v>30</v>
      </c>
      <c r="I172" s="3" t="s">
        <v>25</v>
      </c>
      <c r="J172" s="3" t="s">
        <v>30</v>
      </c>
      <c r="K172" s="3" t="s">
        <v>25</v>
      </c>
      <c r="L172" s="5">
        <v>520.0</v>
      </c>
      <c r="M172" s="5">
        <v>310.0</v>
      </c>
      <c r="N172" s="5">
        <v>310.0</v>
      </c>
      <c r="O172" s="5">
        <v>1140.0</v>
      </c>
      <c r="P172" s="6">
        <v>44667.0</v>
      </c>
      <c r="Q172" s="3" t="s">
        <v>31</v>
      </c>
      <c r="R172" s="3" t="s">
        <v>29</v>
      </c>
      <c r="S172" s="5">
        <v>21665.0</v>
      </c>
      <c r="T172" s="3"/>
      <c r="U172" s="3"/>
      <c r="V172" s="3"/>
      <c r="W172" s="3"/>
      <c r="X172" s="3"/>
    </row>
    <row r="173">
      <c r="A173" s="3" t="s">
        <v>390</v>
      </c>
      <c r="B173" s="3" t="s">
        <v>391</v>
      </c>
      <c r="C173" s="3" t="s">
        <v>21</v>
      </c>
      <c r="D173" s="3" t="s">
        <v>22</v>
      </c>
      <c r="E173" s="3" t="s">
        <v>379</v>
      </c>
      <c r="F173" s="3" t="s">
        <v>28</v>
      </c>
      <c r="G173" s="3" t="s">
        <v>29</v>
      </c>
      <c r="H173" s="3" t="s">
        <v>30</v>
      </c>
      <c r="I173" s="3" t="s">
        <v>25</v>
      </c>
      <c r="J173" s="3" t="s">
        <v>30</v>
      </c>
      <c r="K173" s="3" t="s">
        <v>25</v>
      </c>
      <c r="L173" s="5">
        <v>500.0</v>
      </c>
      <c r="M173" s="5">
        <v>301.0</v>
      </c>
      <c r="N173" s="5">
        <v>300.0</v>
      </c>
      <c r="O173" s="5">
        <v>1101.0</v>
      </c>
      <c r="P173" s="6">
        <v>44671.0</v>
      </c>
      <c r="Q173" s="3" t="s">
        <v>31</v>
      </c>
      <c r="R173" s="3" t="s">
        <v>29</v>
      </c>
      <c r="S173" s="5">
        <v>106640.0</v>
      </c>
      <c r="T173" s="3"/>
      <c r="U173" s="3"/>
      <c r="V173" s="3"/>
      <c r="W173" s="3"/>
      <c r="X173" s="3"/>
    </row>
    <row r="174">
      <c r="A174" s="3" t="s">
        <v>392</v>
      </c>
      <c r="B174" s="3" t="s">
        <v>393</v>
      </c>
      <c r="C174" s="3" t="s">
        <v>21</v>
      </c>
      <c r="D174" s="3" t="s">
        <v>22</v>
      </c>
      <c r="E174" s="3" t="s">
        <v>379</v>
      </c>
      <c r="F174" s="3" t="s">
        <v>28</v>
      </c>
      <c r="G174" s="3" t="s">
        <v>29</v>
      </c>
      <c r="H174" s="3" t="s">
        <v>30</v>
      </c>
      <c r="I174" s="3" t="s">
        <v>25</v>
      </c>
      <c r="J174" s="3" t="s">
        <v>30</v>
      </c>
      <c r="K174" s="3" t="s">
        <v>25</v>
      </c>
      <c r="L174" s="5">
        <v>500.0</v>
      </c>
      <c r="M174" s="5">
        <v>300.0</v>
      </c>
      <c r="N174" s="5">
        <v>300.0</v>
      </c>
      <c r="O174" s="5">
        <v>1100.0</v>
      </c>
      <c r="P174" s="6">
        <v>44669.0</v>
      </c>
      <c r="Q174" s="3" t="s">
        <v>31</v>
      </c>
      <c r="R174" s="3" t="s">
        <v>29</v>
      </c>
      <c r="S174" s="5">
        <v>58492.0</v>
      </c>
      <c r="T174" s="3"/>
      <c r="U174" s="3"/>
      <c r="V174" s="3"/>
      <c r="W174" s="3"/>
      <c r="X174" s="3"/>
    </row>
    <row r="175">
      <c r="A175" s="3" t="s">
        <v>394</v>
      </c>
      <c r="B175" s="3" t="s">
        <v>395</v>
      </c>
      <c r="C175" s="3" t="s">
        <v>21</v>
      </c>
      <c r="D175" s="3" t="s">
        <v>22</v>
      </c>
      <c r="E175" s="3" t="s">
        <v>379</v>
      </c>
      <c r="F175" s="3" t="s">
        <v>28</v>
      </c>
      <c r="G175" s="3" t="s">
        <v>29</v>
      </c>
      <c r="H175" s="3" t="s">
        <v>30</v>
      </c>
      <c r="I175" s="3" t="s">
        <v>25</v>
      </c>
      <c r="J175" s="3" t="s">
        <v>30</v>
      </c>
      <c r="K175" s="3" t="s">
        <v>25</v>
      </c>
      <c r="L175" s="5">
        <v>500.0</v>
      </c>
      <c r="M175" s="5">
        <v>300.0</v>
      </c>
      <c r="N175" s="5">
        <v>300.0</v>
      </c>
      <c r="O175" s="5">
        <v>1100.0</v>
      </c>
      <c r="P175" s="6">
        <v>44668.0</v>
      </c>
      <c r="Q175" s="3" t="s">
        <v>31</v>
      </c>
      <c r="R175" s="3" t="s">
        <v>29</v>
      </c>
      <c r="S175" s="5">
        <v>1001250.0</v>
      </c>
      <c r="T175" s="3"/>
      <c r="U175" s="3"/>
      <c r="V175" s="3"/>
      <c r="W175" s="3"/>
      <c r="X175" s="3"/>
    </row>
    <row r="176">
      <c r="A176" s="3" t="s">
        <v>396</v>
      </c>
      <c r="B176" s="3" t="s">
        <v>397</v>
      </c>
      <c r="C176" s="3" t="s">
        <v>21</v>
      </c>
      <c r="D176" s="3" t="s">
        <v>59</v>
      </c>
      <c r="E176" s="3" t="s">
        <v>379</v>
      </c>
      <c r="F176" s="3" t="s">
        <v>30</v>
      </c>
      <c r="G176" s="3" t="s">
        <v>25</v>
      </c>
      <c r="H176" s="3" t="s">
        <v>30</v>
      </c>
      <c r="I176" s="3" t="s">
        <v>25</v>
      </c>
      <c r="J176" s="3" t="s">
        <v>30</v>
      </c>
      <c r="K176" s="3" t="s">
        <v>25</v>
      </c>
      <c r="L176" s="5">
        <v>340.0</v>
      </c>
      <c r="M176" s="5">
        <v>346.0</v>
      </c>
      <c r="N176" s="5">
        <v>305.0</v>
      </c>
      <c r="O176" s="5">
        <v>991.0</v>
      </c>
      <c r="P176" s="6">
        <v>44723.0</v>
      </c>
      <c r="Q176" s="3" t="s">
        <v>31</v>
      </c>
      <c r="R176" s="3" t="s">
        <v>29</v>
      </c>
      <c r="S176" s="5">
        <v>1300734.0</v>
      </c>
      <c r="T176" s="3"/>
      <c r="U176" s="3"/>
      <c r="V176" s="3"/>
      <c r="W176" s="3"/>
      <c r="X176" s="3"/>
    </row>
    <row r="177">
      <c r="A177" s="3" t="s">
        <v>398</v>
      </c>
      <c r="B177" s="3" t="s">
        <v>399</v>
      </c>
      <c r="C177" s="3" t="s">
        <v>21</v>
      </c>
      <c r="D177" s="3" t="s">
        <v>22</v>
      </c>
      <c r="E177" s="3" t="s">
        <v>379</v>
      </c>
      <c r="F177" s="3" t="s">
        <v>30</v>
      </c>
      <c r="G177" s="3" t="s">
        <v>25</v>
      </c>
      <c r="H177" s="3" t="s">
        <v>30</v>
      </c>
      <c r="I177" s="3" t="s">
        <v>25</v>
      </c>
      <c r="J177" s="3" t="s">
        <v>24</v>
      </c>
      <c r="K177" s="3" t="s">
        <v>25</v>
      </c>
      <c r="L177" s="5">
        <v>363.0</v>
      </c>
      <c r="M177" s="5">
        <v>344.0</v>
      </c>
      <c r="N177" s="5">
        <v>220.0</v>
      </c>
      <c r="O177" s="5">
        <v>927.0</v>
      </c>
      <c r="P177" s="6">
        <v>44669.0</v>
      </c>
      <c r="Q177" s="3" t="s">
        <v>31</v>
      </c>
      <c r="R177" s="3" t="s">
        <v>29</v>
      </c>
      <c r="S177" s="5">
        <v>920760.0</v>
      </c>
      <c r="T177" s="3"/>
      <c r="U177" s="3"/>
      <c r="V177" s="3"/>
      <c r="W177" s="3"/>
      <c r="X177" s="3"/>
    </row>
    <row r="178">
      <c r="A178" s="3" t="s">
        <v>400</v>
      </c>
      <c r="B178" s="3" t="s">
        <v>401</v>
      </c>
      <c r="C178" s="3" t="s">
        <v>84</v>
      </c>
      <c r="D178" s="3" t="s">
        <v>22</v>
      </c>
      <c r="E178" s="3" t="s">
        <v>379</v>
      </c>
      <c r="F178" s="3" t="s">
        <v>30</v>
      </c>
      <c r="G178" s="3" t="s">
        <v>25</v>
      </c>
      <c r="H178" s="3" t="s">
        <v>24</v>
      </c>
      <c r="I178" s="3" t="s">
        <v>25</v>
      </c>
      <c r="J178" s="3" t="s">
        <v>30</v>
      </c>
      <c r="K178" s="3" t="s">
        <v>25</v>
      </c>
      <c r="L178" s="5">
        <v>355.0</v>
      </c>
      <c r="M178" s="5">
        <v>217.0</v>
      </c>
      <c r="N178" s="5">
        <v>325.0</v>
      </c>
      <c r="O178" s="5">
        <v>897.0</v>
      </c>
      <c r="P178" s="6">
        <v>44723.0</v>
      </c>
      <c r="Q178" s="3" t="s">
        <v>30</v>
      </c>
      <c r="R178" s="3" t="s">
        <v>25</v>
      </c>
      <c r="S178" s="5">
        <v>1819580.0</v>
      </c>
      <c r="T178" s="3"/>
      <c r="U178" s="3"/>
      <c r="V178" s="3"/>
      <c r="W178" s="3"/>
      <c r="X178" s="3"/>
    </row>
    <row r="179">
      <c r="A179" s="3" t="s">
        <v>402</v>
      </c>
      <c r="B179" s="3" t="s">
        <v>403</v>
      </c>
      <c r="C179" s="3" t="s">
        <v>21</v>
      </c>
      <c r="D179" s="3" t="s">
        <v>22</v>
      </c>
      <c r="E179" s="3" t="s">
        <v>379</v>
      </c>
      <c r="F179" s="3" t="s">
        <v>24</v>
      </c>
      <c r="G179" s="3" t="s">
        <v>25</v>
      </c>
      <c r="H179" s="3" t="s">
        <v>24</v>
      </c>
      <c r="I179" s="3" t="s">
        <v>25</v>
      </c>
      <c r="J179" s="3" t="s">
        <v>24</v>
      </c>
      <c r="K179" s="3" t="s">
        <v>25</v>
      </c>
      <c r="L179" s="5">
        <v>245.0</v>
      </c>
      <c r="M179" s="5">
        <v>272.0</v>
      </c>
      <c r="N179" s="5">
        <v>230.0</v>
      </c>
      <c r="O179" s="5">
        <v>747.0</v>
      </c>
      <c r="P179" s="7">
        <v>44880.0</v>
      </c>
      <c r="Q179" s="3" t="s">
        <v>24</v>
      </c>
      <c r="R179" s="3" t="s">
        <v>25</v>
      </c>
      <c r="S179" s="5">
        <v>1709164.0</v>
      </c>
      <c r="T179" s="3"/>
      <c r="U179" s="3"/>
      <c r="V179" s="3"/>
      <c r="W179" s="3"/>
      <c r="X179" s="3"/>
    </row>
    <row r="180">
      <c r="A180" s="3" t="s">
        <v>404</v>
      </c>
      <c r="B180" s="3" t="s">
        <v>405</v>
      </c>
      <c r="C180" s="3" t="s">
        <v>21</v>
      </c>
      <c r="D180" s="3" t="s">
        <v>59</v>
      </c>
      <c r="E180" s="3" t="s">
        <v>379</v>
      </c>
      <c r="F180" s="3" t="s">
        <v>24</v>
      </c>
      <c r="G180" s="3" t="s">
        <v>25</v>
      </c>
      <c r="H180" s="3" t="s">
        <v>24</v>
      </c>
      <c r="I180" s="3" t="s">
        <v>25</v>
      </c>
      <c r="J180" s="3" t="s">
        <v>30</v>
      </c>
      <c r="K180" s="3" t="s">
        <v>25</v>
      </c>
      <c r="L180" s="5">
        <v>225.0</v>
      </c>
      <c r="M180" s="5">
        <v>207.0</v>
      </c>
      <c r="N180" s="5">
        <v>300.0</v>
      </c>
      <c r="O180" s="5">
        <v>732.0</v>
      </c>
      <c r="P180" s="6">
        <v>44722.0</v>
      </c>
      <c r="Q180" s="3" t="s">
        <v>24</v>
      </c>
      <c r="R180" s="3" t="s">
        <v>25</v>
      </c>
      <c r="S180" s="5">
        <v>1751876.0</v>
      </c>
      <c r="T180" s="3"/>
      <c r="U180" s="3"/>
      <c r="V180" s="3"/>
      <c r="W180" s="3"/>
      <c r="X180" s="3"/>
    </row>
    <row r="181">
      <c r="A181" s="3" t="s">
        <v>406</v>
      </c>
      <c r="B181" s="3" t="s">
        <v>407</v>
      </c>
      <c r="C181" s="3" t="s">
        <v>21</v>
      </c>
      <c r="D181" s="3" t="s">
        <v>22</v>
      </c>
      <c r="E181" s="3" t="s">
        <v>379</v>
      </c>
      <c r="F181" s="3" t="s">
        <v>24</v>
      </c>
      <c r="G181" s="3" t="s">
        <v>25</v>
      </c>
      <c r="H181" s="3" t="s">
        <v>24</v>
      </c>
      <c r="I181" s="3" t="s">
        <v>25</v>
      </c>
      <c r="J181" s="3" t="s">
        <v>24</v>
      </c>
      <c r="K181" s="3" t="s">
        <v>25</v>
      </c>
      <c r="L181" s="5">
        <v>250.0</v>
      </c>
      <c r="M181" s="5">
        <v>271.0</v>
      </c>
      <c r="N181" s="5">
        <v>205.0</v>
      </c>
      <c r="O181" s="5">
        <v>726.0</v>
      </c>
      <c r="P181" s="6">
        <v>44668.0</v>
      </c>
      <c r="Q181" s="3" t="s">
        <v>24</v>
      </c>
      <c r="R181" s="3" t="s">
        <v>25</v>
      </c>
      <c r="S181" s="5">
        <v>882184.0</v>
      </c>
      <c r="T181" s="3"/>
      <c r="U181" s="3"/>
      <c r="V181" s="3"/>
      <c r="W181" s="3"/>
      <c r="X181" s="3"/>
    </row>
    <row r="182">
      <c r="A182" s="3" t="s">
        <v>408</v>
      </c>
      <c r="B182" s="3" t="s">
        <v>409</v>
      </c>
      <c r="C182" s="3" t="s">
        <v>21</v>
      </c>
      <c r="D182" s="3" t="s">
        <v>59</v>
      </c>
      <c r="E182" s="3" t="s">
        <v>379</v>
      </c>
      <c r="F182" s="3" t="s">
        <v>24</v>
      </c>
      <c r="G182" s="3" t="s">
        <v>25</v>
      </c>
      <c r="H182" s="3" t="s">
        <v>24</v>
      </c>
      <c r="I182" s="3" t="s">
        <v>25</v>
      </c>
      <c r="J182" s="3" t="s">
        <v>24</v>
      </c>
      <c r="K182" s="3" t="s">
        <v>25</v>
      </c>
      <c r="L182" s="5">
        <v>200.0</v>
      </c>
      <c r="M182" s="5">
        <v>260.0</v>
      </c>
      <c r="N182" s="5">
        <v>230.0</v>
      </c>
      <c r="O182" s="5">
        <v>690.0</v>
      </c>
      <c r="P182" s="6">
        <v>44669.0</v>
      </c>
      <c r="Q182" s="3" t="s">
        <v>24</v>
      </c>
      <c r="R182" s="3" t="s">
        <v>25</v>
      </c>
      <c r="S182" s="5">
        <v>1056358.0</v>
      </c>
      <c r="T182" s="3"/>
      <c r="U182" s="3"/>
      <c r="V182" s="3"/>
      <c r="W182" s="3"/>
      <c r="X182" s="3"/>
    </row>
    <row r="183">
      <c r="A183" s="3" t="s">
        <v>410</v>
      </c>
      <c r="B183" s="3" t="s">
        <v>411</v>
      </c>
      <c r="C183" s="3" t="s">
        <v>21</v>
      </c>
      <c r="D183" s="3" t="s">
        <v>22</v>
      </c>
      <c r="E183" s="3" t="s">
        <v>379</v>
      </c>
      <c r="F183" s="3" t="s">
        <v>24</v>
      </c>
      <c r="G183" s="3" t="s">
        <v>25</v>
      </c>
      <c r="H183" s="3" t="s">
        <v>24</v>
      </c>
      <c r="I183" s="3" t="s">
        <v>25</v>
      </c>
      <c r="J183" s="3" t="s">
        <v>24</v>
      </c>
      <c r="K183" s="3" t="s">
        <v>25</v>
      </c>
      <c r="L183" s="5">
        <v>265.0</v>
      </c>
      <c r="M183" s="5">
        <v>206.0</v>
      </c>
      <c r="N183" s="5">
        <v>205.0</v>
      </c>
      <c r="O183" s="5">
        <v>676.0</v>
      </c>
      <c r="P183" s="6">
        <v>44669.0</v>
      </c>
      <c r="Q183" s="3" t="s">
        <v>24</v>
      </c>
      <c r="R183" s="3" t="s">
        <v>25</v>
      </c>
      <c r="S183" s="5">
        <v>906163.0</v>
      </c>
      <c r="T183" s="3"/>
      <c r="U183" s="3"/>
      <c r="V183" s="3"/>
      <c r="W183" s="3"/>
      <c r="X183" s="3"/>
    </row>
    <row r="184">
      <c r="A184" s="3" t="s">
        <v>412</v>
      </c>
      <c r="B184" s="3" t="s">
        <v>413</v>
      </c>
      <c r="C184" s="3" t="s">
        <v>21</v>
      </c>
      <c r="D184" s="3" t="s">
        <v>22</v>
      </c>
      <c r="E184" s="3" t="s">
        <v>379</v>
      </c>
      <c r="F184" s="3" t="s">
        <v>24</v>
      </c>
      <c r="G184" s="3" t="s">
        <v>25</v>
      </c>
      <c r="H184" s="3" t="s">
        <v>24</v>
      </c>
      <c r="I184" s="3" t="s">
        <v>25</v>
      </c>
      <c r="J184" s="3" t="s">
        <v>24</v>
      </c>
      <c r="K184" s="3" t="s">
        <v>25</v>
      </c>
      <c r="L184" s="5">
        <v>215.0</v>
      </c>
      <c r="M184" s="5">
        <v>203.0</v>
      </c>
      <c r="N184" s="5">
        <v>240.0</v>
      </c>
      <c r="O184" s="5">
        <v>658.0</v>
      </c>
      <c r="P184" s="6">
        <v>44670.0</v>
      </c>
      <c r="Q184" s="3" t="s">
        <v>24</v>
      </c>
      <c r="R184" s="3" t="s">
        <v>25</v>
      </c>
      <c r="S184" s="5">
        <v>822416.0</v>
      </c>
      <c r="T184" s="3"/>
      <c r="U184" s="3"/>
      <c r="V184" s="3"/>
      <c r="W184" s="3"/>
      <c r="X184" s="3"/>
    </row>
    <row r="185">
      <c r="A185" s="3" t="s">
        <v>414</v>
      </c>
      <c r="B185" s="3" t="s">
        <v>415</v>
      </c>
      <c r="C185" s="3" t="s">
        <v>21</v>
      </c>
      <c r="D185" s="3" t="s">
        <v>59</v>
      </c>
      <c r="E185" s="3" t="s">
        <v>379</v>
      </c>
      <c r="F185" s="3" t="s">
        <v>24</v>
      </c>
      <c r="G185" s="3" t="s">
        <v>25</v>
      </c>
      <c r="H185" s="3" t="s">
        <v>24</v>
      </c>
      <c r="I185" s="3" t="s">
        <v>25</v>
      </c>
      <c r="J185" s="3" t="s">
        <v>24</v>
      </c>
      <c r="K185" s="3" t="s">
        <v>25</v>
      </c>
      <c r="L185" s="5">
        <v>222.0</v>
      </c>
      <c r="M185" s="5">
        <v>221.0</v>
      </c>
      <c r="N185" s="5">
        <v>208.0</v>
      </c>
      <c r="O185" s="5">
        <v>651.0</v>
      </c>
      <c r="P185" s="6">
        <v>44722.0</v>
      </c>
      <c r="Q185" s="3" t="s">
        <v>24</v>
      </c>
      <c r="R185" s="3" t="s">
        <v>25</v>
      </c>
      <c r="S185" s="5">
        <v>1784567.0</v>
      </c>
      <c r="T185" s="3"/>
      <c r="U185" s="3"/>
      <c r="V185" s="3"/>
      <c r="W185" s="3"/>
      <c r="X185" s="3"/>
    </row>
    <row r="186">
      <c r="A186" s="3" t="s">
        <v>416</v>
      </c>
      <c r="B186" s="3" t="s">
        <v>417</v>
      </c>
      <c r="C186" s="3" t="s">
        <v>21</v>
      </c>
      <c r="D186" s="3" t="s">
        <v>22</v>
      </c>
      <c r="E186" s="3" t="s">
        <v>379</v>
      </c>
      <c r="F186" s="3" t="s">
        <v>24</v>
      </c>
      <c r="G186" s="3" t="s">
        <v>25</v>
      </c>
      <c r="H186" s="3" t="s">
        <v>24</v>
      </c>
      <c r="I186" s="3" t="s">
        <v>25</v>
      </c>
      <c r="J186" s="3" t="s">
        <v>24</v>
      </c>
      <c r="K186" s="3" t="s">
        <v>25</v>
      </c>
      <c r="L186" s="5">
        <v>205.0</v>
      </c>
      <c r="M186" s="5">
        <v>242.0</v>
      </c>
      <c r="N186" s="5">
        <v>200.0</v>
      </c>
      <c r="O186" s="5">
        <v>647.0</v>
      </c>
      <c r="P186" s="6">
        <v>44668.0</v>
      </c>
      <c r="Q186" s="3" t="s">
        <v>24</v>
      </c>
      <c r="R186" s="3" t="s">
        <v>25</v>
      </c>
      <c r="S186" s="5">
        <v>1121788.0</v>
      </c>
      <c r="T186" s="3"/>
      <c r="U186" s="3"/>
      <c r="V186" s="3"/>
      <c r="W186" s="3"/>
      <c r="X186" s="3"/>
    </row>
    <row r="187">
      <c r="A187" s="3" t="s">
        <v>418</v>
      </c>
      <c r="B187" s="3" t="s">
        <v>419</v>
      </c>
      <c r="C187" s="3" t="s">
        <v>21</v>
      </c>
      <c r="D187" s="3" t="s">
        <v>59</v>
      </c>
      <c r="E187" s="3" t="s">
        <v>420</v>
      </c>
      <c r="F187" s="3" t="s">
        <v>28</v>
      </c>
      <c r="G187" s="3" t="s">
        <v>29</v>
      </c>
      <c r="H187" s="3" t="s">
        <v>30</v>
      </c>
      <c r="I187" s="3" t="s">
        <v>25</v>
      </c>
      <c r="J187" s="3" t="s">
        <v>30</v>
      </c>
      <c r="K187" s="3" t="s">
        <v>25</v>
      </c>
      <c r="L187" s="5">
        <v>525.0</v>
      </c>
      <c r="M187" s="5">
        <v>306.0</v>
      </c>
      <c r="N187" s="5">
        <v>313.0</v>
      </c>
      <c r="O187" s="5">
        <v>1144.0</v>
      </c>
      <c r="P187" s="6">
        <v>44669.0</v>
      </c>
      <c r="Q187" s="3" t="s">
        <v>31</v>
      </c>
      <c r="R187" s="3" t="s">
        <v>29</v>
      </c>
      <c r="S187" s="5">
        <v>945841.0</v>
      </c>
      <c r="T187" s="3"/>
      <c r="U187" s="3"/>
      <c r="V187" s="3"/>
      <c r="W187" s="3"/>
      <c r="X187" s="3"/>
    </row>
    <row r="188">
      <c r="A188" s="3" t="s">
        <v>421</v>
      </c>
      <c r="B188" s="3" t="s">
        <v>422</v>
      </c>
      <c r="C188" s="3" t="s">
        <v>21</v>
      </c>
      <c r="D188" s="3" t="s">
        <v>59</v>
      </c>
      <c r="E188" s="3" t="s">
        <v>420</v>
      </c>
      <c r="F188" s="3" t="s">
        <v>28</v>
      </c>
      <c r="G188" s="3" t="s">
        <v>29</v>
      </c>
      <c r="H188" s="3" t="s">
        <v>30</v>
      </c>
      <c r="I188" s="3" t="s">
        <v>25</v>
      </c>
      <c r="J188" s="3" t="s">
        <v>30</v>
      </c>
      <c r="K188" s="3" t="s">
        <v>25</v>
      </c>
      <c r="L188" s="5">
        <v>515.0</v>
      </c>
      <c r="M188" s="5">
        <v>300.0</v>
      </c>
      <c r="N188" s="5">
        <v>305.0</v>
      </c>
      <c r="O188" s="5">
        <v>1120.0</v>
      </c>
      <c r="P188" s="6">
        <v>44669.0</v>
      </c>
      <c r="Q188" s="3" t="s">
        <v>31</v>
      </c>
      <c r="R188" s="3" t="s">
        <v>29</v>
      </c>
      <c r="S188" s="5">
        <v>1065696.0</v>
      </c>
      <c r="T188" s="3"/>
      <c r="U188" s="3"/>
      <c r="V188" s="3"/>
      <c r="W188" s="3"/>
      <c r="X188" s="3"/>
    </row>
    <row r="189">
      <c r="A189" s="3" t="s">
        <v>423</v>
      </c>
      <c r="B189" s="3" t="s">
        <v>424</v>
      </c>
      <c r="C189" s="3" t="s">
        <v>21</v>
      </c>
      <c r="D189" s="3" t="s">
        <v>22</v>
      </c>
      <c r="E189" s="3" t="s">
        <v>420</v>
      </c>
      <c r="F189" s="3" t="s">
        <v>28</v>
      </c>
      <c r="G189" s="3" t="s">
        <v>29</v>
      </c>
      <c r="H189" s="3" t="s">
        <v>24</v>
      </c>
      <c r="I189" s="3" t="s">
        <v>25</v>
      </c>
      <c r="J189" s="3" t="s">
        <v>30</v>
      </c>
      <c r="K189" s="3" t="s">
        <v>25</v>
      </c>
      <c r="L189" s="5">
        <v>535.0</v>
      </c>
      <c r="M189" s="5">
        <v>225.0</v>
      </c>
      <c r="N189" s="5">
        <v>305.0</v>
      </c>
      <c r="O189" s="5">
        <v>1065.0</v>
      </c>
      <c r="P189" s="6">
        <v>44668.0</v>
      </c>
      <c r="Q189" s="3" t="s">
        <v>31</v>
      </c>
      <c r="R189" s="3" t="s">
        <v>29</v>
      </c>
      <c r="S189" s="5">
        <v>40987.0</v>
      </c>
      <c r="T189" s="3"/>
      <c r="U189" s="3"/>
      <c r="V189" s="3"/>
      <c r="W189" s="3"/>
      <c r="X189" s="3"/>
    </row>
    <row r="190">
      <c r="A190" s="3" t="s">
        <v>425</v>
      </c>
      <c r="B190" s="3" t="s">
        <v>426</v>
      </c>
      <c r="C190" s="3" t="s">
        <v>21</v>
      </c>
      <c r="D190" s="3" t="s">
        <v>59</v>
      </c>
      <c r="E190" s="3" t="s">
        <v>427</v>
      </c>
      <c r="F190" s="3" t="s">
        <v>30</v>
      </c>
      <c r="G190" s="3" t="s">
        <v>25</v>
      </c>
      <c r="H190" s="3" t="s">
        <v>24</v>
      </c>
      <c r="I190" s="3" t="s">
        <v>25</v>
      </c>
      <c r="J190" s="3" t="s">
        <v>24</v>
      </c>
      <c r="K190" s="3" t="s">
        <v>25</v>
      </c>
      <c r="L190" s="5">
        <v>365.0</v>
      </c>
      <c r="M190" s="5">
        <v>297.0</v>
      </c>
      <c r="N190" s="5">
        <v>250.0</v>
      </c>
      <c r="O190" s="5">
        <v>912.0</v>
      </c>
      <c r="P190" s="6">
        <v>44722.0</v>
      </c>
      <c r="Q190" s="3" t="s">
        <v>31</v>
      </c>
      <c r="R190" s="3" t="s">
        <v>29</v>
      </c>
      <c r="S190" s="5">
        <v>1046568.0</v>
      </c>
      <c r="T190" s="3"/>
      <c r="U190" s="3"/>
      <c r="V190" s="3"/>
      <c r="W190" s="3"/>
      <c r="X190" s="3"/>
    </row>
    <row r="191">
      <c r="A191" s="3" t="s">
        <v>428</v>
      </c>
      <c r="B191" s="3" t="s">
        <v>429</v>
      </c>
      <c r="C191" s="3" t="s">
        <v>430</v>
      </c>
      <c r="D191" s="3" t="s">
        <v>59</v>
      </c>
      <c r="E191" s="3" t="s">
        <v>427</v>
      </c>
      <c r="F191" s="3" t="s">
        <v>24</v>
      </c>
      <c r="G191" s="3" t="s">
        <v>25</v>
      </c>
      <c r="H191" s="3" t="s">
        <v>24</v>
      </c>
      <c r="I191" s="3" t="s">
        <v>25</v>
      </c>
      <c r="J191" s="3" t="s">
        <v>24</v>
      </c>
      <c r="K191" s="3" t="s">
        <v>25</v>
      </c>
      <c r="L191" s="5">
        <v>290.0</v>
      </c>
      <c r="M191" s="5">
        <v>203.0</v>
      </c>
      <c r="N191" s="5">
        <v>205.0</v>
      </c>
      <c r="O191" s="5">
        <v>698.0</v>
      </c>
      <c r="P191" s="6">
        <v>44722.0</v>
      </c>
      <c r="Q191" s="3" t="s">
        <v>24</v>
      </c>
      <c r="R191" s="3" t="s">
        <v>25</v>
      </c>
      <c r="S191" s="5">
        <v>1771007.0</v>
      </c>
      <c r="T191" s="3"/>
      <c r="U191" s="3"/>
      <c r="V191" s="3"/>
      <c r="W191" s="3"/>
      <c r="X191" s="3"/>
    </row>
    <row r="192">
      <c r="A192" s="3" t="s">
        <v>431</v>
      </c>
      <c r="B192" s="3" t="s">
        <v>432</v>
      </c>
      <c r="C192" s="3" t="s">
        <v>84</v>
      </c>
      <c r="D192" s="3" t="s">
        <v>59</v>
      </c>
      <c r="E192" s="3" t="s">
        <v>427</v>
      </c>
      <c r="F192" s="3" t="s">
        <v>24</v>
      </c>
      <c r="G192" s="3" t="s">
        <v>25</v>
      </c>
      <c r="H192" s="3" t="s">
        <v>24</v>
      </c>
      <c r="I192" s="3" t="s">
        <v>25</v>
      </c>
      <c r="J192" s="3" t="s">
        <v>24</v>
      </c>
      <c r="K192" s="3" t="s">
        <v>25</v>
      </c>
      <c r="L192" s="5">
        <v>203.0</v>
      </c>
      <c r="M192" s="5">
        <v>200.0</v>
      </c>
      <c r="N192" s="5">
        <v>205.0</v>
      </c>
      <c r="O192" s="5">
        <v>608.0</v>
      </c>
      <c r="P192" s="6">
        <v>44743.0</v>
      </c>
      <c r="Q192" s="3" t="s">
        <v>24</v>
      </c>
      <c r="R192" s="3" t="s">
        <v>25</v>
      </c>
      <c r="S192" s="5">
        <v>1420529.0</v>
      </c>
      <c r="T192" s="3"/>
      <c r="U192" s="3"/>
      <c r="V192" s="3"/>
      <c r="W192" s="3"/>
      <c r="X192" s="3"/>
    </row>
    <row r="193">
      <c r="A193" s="3" t="s">
        <v>433</v>
      </c>
      <c r="B193" s="3" t="s">
        <v>434</v>
      </c>
      <c r="C193" s="3" t="s">
        <v>21</v>
      </c>
      <c r="D193" s="3" t="s">
        <v>22</v>
      </c>
      <c r="E193" s="3" t="s">
        <v>435</v>
      </c>
      <c r="F193" s="3" t="s">
        <v>28</v>
      </c>
      <c r="G193" s="3" t="s">
        <v>29</v>
      </c>
      <c r="H193" s="3" t="s">
        <v>30</v>
      </c>
      <c r="I193" s="3" t="s">
        <v>25</v>
      </c>
      <c r="J193" s="3" t="s">
        <v>31</v>
      </c>
      <c r="K193" s="3" t="s">
        <v>29</v>
      </c>
      <c r="L193" s="5">
        <v>512.0</v>
      </c>
      <c r="M193" s="5">
        <v>303.0</v>
      </c>
      <c r="N193" s="5">
        <v>475.0</v>
      </c>
      <c r="O193" s="5">
        <v>1290.0</v>
      </c>
      <c r="P193" s="6">
        <v>44667.0</v>
      </c>
      <c r="Q193" s="3" t="s">
        <v>28</v>
      </c>
      <c r="R193" s="3" t="s">
        <v>29</v>
      </c>
      <c r="S193" s="5">
        <v>820313.0</v>
      </c>
      <c r="T193" s="3"/>
      <c r="U193" s="3"/>
      <c r="V193" s="3"/>
      <c r="W193" s="3"/>
      <c r="X193" s="3"/>
    </row>
    <row r="194">
      <c r="A194" s="3" t="s">
        <v>436</v>
      </c>
      <c r="B194" s="3" t="s">
        <v>437</v>
      </c>
      <c r="C194" s="3" t="s">
        <v>21</v>
      </c>
      <c r="D194" s="3" t="s">
        <v>59</v>
      </c>
      <c r="E194" s="3" t="s">
        <v>435</v>
      </c>
      <c r="F194" s="3" t="s">
        <v>28</v>
      </c>
      <c r="G194" s="3" t="s">
        <v>29</v>
      </c>
      <c r="H194" s="3" t="s">
        <v>31</v>
      </c>
      <c r="I194" s="3" t="s">
        <v>29</v>
      </c>
      <c r="J194" s="3" t="s">
        <v>30</v>
      </c>
      <c r="K194" s="3" t="s">
        <v>25</v>
      </c>
      <c r="L194" s="5">
        <v>550.0</v>
      </c>
      <c r="M194" s="5">
        <v>415.0</v>
      </c>
      <c r="N194" s="5">
        <v>315.0</v>
      </c>
      <c r="O194" s="5">
        <v>1280.0</v>
      </c>
      <c r="P194" s="6">
        <v>44670.0</v>
      </c>
      <c r="Q194" s="3" t="s">
        <v>28</v>
      </c>
      <c r="R194" s="3" t="s">
        <v>29</v>
      </c>
      <c r="S194" s="5">
        <v>864749.0</v>
      </c>
      <c r="T194" s="3"/>
      <c r="U194" s="3"/>
      <c r="V194" s="3"/>
      <c r="W194" s="3"/>
      <c r="X194" s="3"/>
    </row>
    <row r="195">
      <c r="A195" s="3" t="s">
        <v>438</v>
      </c>
      <c r="B195" s="3" t="s">
        <v>439</v>
      </c>
      <c r="C195" s="3" t="s">
        <v>21</v>
      </c>
      <c r="D195" s="3" t="s">
        <v>22</v>
      </c>
      <c r="E195" s="3" t="s">
        <v>435</v>
      </c>
      <c r="F195" s="3" t="s">
        <v>147</v>
      </c>
      <c r="G195" s="3" t="s">
        <v>148</v>
      </c>
      <c r="H195" s="3" t="s">
        <v>30</v>
      </c>
      <c r="I195" s="3" t="s">
        <v>25</v>
      </c>
      <c r="J195" s="3" t="s">
        <v>30</v>
      </c>
      <c r="K195" s="3" t="s">
        <v>25</v>
      </c>
      <c r="L195" s="5">
        <v>605.0</v>
      </c>
      <c r="M195" s="5">
        <v>323.0</v>
      </c>
      <c r="N195" s="5">
        <v>315.0</v>
      </c>
      <c r="O195" s="5">
        <v>1243.0</v>
      </c>
      <c r="P195" s="6">
        <v>44668.0</v>
      </c>
      <c r="Q195" s="3" t="s">
        <v>28</v>
      </c>
      <c r="R195" s="3" t="s">
        <v>29</v>
      </c>
      <c r="S195" s="5">
        <v>32604.0</v>
      </c>
      <c r="T195" s="3"/>
      <c r="U195" s="3"/>
      <c r="V195" s="3"/>
      <c r="W195" s="3"/>
      <c r="X195" s="3"/>
    </row>
    <row r="196">
      <c r="A196" s="3" t="s">
        <v>440</v>
      </c>
      <c r="B196" s="3" t="s">
        <v>441</v>
      </c>
      <c r="C196" s="3" t="s">
        <v>21</v>
      </c>
      <c r="D196" s="3" t="s">
        <v>22</v>
      </c>
      <c r="E196" s="3" t="s">
        <v>435</v>
      </c>
      <c r="F196" s="3" t="s">
        <v>28</v>
      </c>
      <c r="G196" s="3" t="s">
        <v>29</v>
      </c>
      <c r="H196" s="3" t="s">
        <v>30</v>
      </c>
      <c r="I196" s="3" t="s">
        <v>25</v>
      </c>
      <c r="J196" s="3" t="s">
        <v>30</v>
      </c>
      <c r="K196" s="3" t="s">
        <v>25</v>
      </c>
      <c r="L196" s="5">
        <v>520.0</v>
      </c>
      <c r="M196" s="5">
        <v>328.0</v>
      </c>
      <c r="N196" s="5">
        <v>320.0</v>
      </c>
      <c r="O196" s="5">
        <v>1168.0</v>
      </c>
      <c r="P196" s="6">
        <v>44668.0</v>
      </c>
      <c r="Q196" s="3" t="s">
        <v>31</v>
      </c>
      <c r="R196" s="3" t="s">
        <v>29</v>
      </c>
      <c r="S196" s="5">
        <v>1551182.0</v>
      </c>
      <c r="T196" s="3"/>
      <c r="U196" s="3"/>
      <c r="V196" s="3"/>
      <c r="W196" s="3"/>
      <c r="X196" s="3"/>
    </row>
    <row r="197">
      <c r="A197" s="3" t="s">
        <v>442</v>
      </c>
      <c r="B197" s="3" t="s">
        <v>443</v>
      </c>
      <c r="C197" s="3" t="s">
        <v>21</v>
      </c>
      <c r="D197" s="3" t="s">
        <v>22</v>
      </c>
      <c r="E197" s="3" t="s">
        <v>435</v>
      </c>
      <c r="F197" s="3" t="s">
        <v>28</v>
      </c>
      <c r="G197" s="3" t="s">
        <v>29</v>
      </c>
      <c r="H197" s="3" t="s">
        <v>30</v>
      </c>
      <c r="I197" s="3" t="s">
        <v>25</v>
      </c>
      <c r="J197" s="3" t="s">
        <v>24</v>
      </c>
      <c r="K197" s="3" t="s">
        <v>25</v>
      </c>
      <c r="L197" s="5">
        <v>540.0</v>
      </c>
      <c r="M197" s="5">
        <v>329.0</v>
      </c>
      <c r="N197" s="5">
        <v>270.0</v>
      </c>
      <c r="O197" s="5">
        <v>1139.0</v>
      </c>
      <c r="P197" s="6">
        <v>44667.0</v>
      </c>
      <c r="Q197" s="3" t="s">
        <v>31</v>
      </c>
      <c r="R197" s="3" t="s">
        <v>29</v>
      </c>
      <c r="S197" s="5">
        <v>1037868.0</v>
      </c>
      <c r="T197" s="3"/>
      <c r="U197" s="3"/>
      <c r="V197" s="3"/>
      <c r="W197" s="3"/>
      <c r="X197" s="3"/>
    </row>
    <row r="198">
      <c r="A198" s="3" t="s">
        <v>444</v>
      </c>
      <c r="B198" s="3" t="s">
        <v>445</v>
      </c>
      <c r="C198" s="3" t="s">
        <v>21</v>
      </c>
      <c r="D198" s="3" t="s">
        <v>59</v>
      </c>
      <c r="E198" s="3" t="s">
        <v>435</v>
      </c>
      <c r="F198" s="3" t="s">
        <v>28</v>
      </c>
      <c r="G198" s="3" t="s">
        <v>29</v>
      </c>
      <c r="H198" s="3" t="s">
        <v>30</v>
      </c>
      <c r="I198" s="3" t="s">
        <v>25</v>
      </c>
      <c r="J198" s="3" t="s">
        <v>30</v>
      </c>
      <c r="K198" s="3" t="s">
        <v>25</v>
      </c>
      <c r="L198" s="5">
        <v>500.0</v>
      </c>
      <c r="M198" s="5">
        <v>300.0</v>
      </c>
      <c r="N198" s="5">
        <v>330.0</v>
      </c>
      <c r="O198" s="5">
        <v>1130.0</v>
      </c>
      <c r="P198" s="6">
        <v>44667.0</v>
      </c>
      <c r="Q198" s="3" t="s">
        <v>31</v>
      </c>
      <c r="R198" s="3" t="s">
        <v>29</v>
      </c>
      <c r="S198" s="5">
        <v>1272842.0</v>
      </c>
      <c r="T198" s="3"/>
      <c r="U198" s="3"/>
      <c r="V198" s="3"/>
      <c r="W198" s="3"/>
      <c r="X198" s="3"/>
    </row>
    <row r="199">
      <c r="A199" s="3" t="s">
        <v>446</v>
      </c>
      <c r="B199" s="3" t="s">
        <v>447</v>
      </c>
      <c r="C199" s="3" t="s">
        <v>21</v>
      </c>
      <c r="D199" s="3" t="s">
        <v>59</v>
      </c>
      <c r="E199" s="3" t="s">
        <v>435</v>
      </c>
      <c r="F199" s="3" t="s">
        <v>28</v>
      </c>
      <c r="G199" s="3" t="s">
        <v>29</v>
      </c>
      <c r="H199" s="3" t="s">
        <v>30</v>
      </c>
      <c r="I199" s="3" t="s">
        <v>25</v>
      </c>
      <c r="J199" s="3" t="s">
        <v>30</v>
      </c>
      <c r="K199" s="3" t="s">
        <v>25</v>
      </c>
      <c r="L199" s="5">
        <v>510.0</v>
      </c>
      <c r="M199" s="5">
        <v>300.0</v>
      </c>
      <c r="N199" s="5">
        <v>300.0</v>
      </c>
      <c r="O199" s="5">
        <v>1110.0</v>
      </c>
      <c r="P199" s="6">
        <v>44669.0</v>
      </c>
      <c r="Q199" s="3" t="s">
        <v>31</v>
      </c>
      <c r="R199" s="3" t="s">
        <v>29</v>
      </c>
      <c r="S199" s="5">
        <v>785786.0</v>
      </c>
      <c r="T199" s="3"/>
      <c r="U199" s="3"/>
      <c r="V199" s="3"/>
      <c r="W199" s="3"/>
      <c r="X199" s="3"/>
    </row>
    <row r="200">
      <c r="A200" s="3" t="s">
        <v>448</v>
      </c>
      <c r="B200" s="3" t="s">
        <v>449</v>
      </c>
      <c r="C200" s="3" t="s">
        <v>21</v>
      </c>
      <c r="D200" s="3" t="s">
        <v>59</v>
      </c>
      <c r="E200" s="3" t="s">
        <v>435</v>
      </c>
      <c r="F200" s="3" t="s">
        <v>28</v>
      </c>
      <c r="G200" s="3" t="s">
        <v>29</v>
      </c>
      <c r="H200" s="3" t="s">
        <v>30</v>
      </c>
      <c r="I200" s="3" t="s">
        <v>25</v>
      </c>
      <c r="J200" s="3" t="s">
        <v>30</v>
      </c>
      <c r="K200" s="3" t="s">
        <v>25</v>
      </c>
      <c r="L200" s="5">
        <v>500.0</v>
      </c>
      <c r="M200" s="5">
        <v>300.0</v>
      </c>
      <c r="N200" s="5">
        <v>300.0</v>
      </c>
      <c r="O200" s="5">
        <v>1100.0</v>
      </c>
      <c r="P200" s="6">
        <v>44667.0</v>
      </c>
      <c r="Q200" s="3" t="s">
        <v>31</v>
      </c>
      <c r="R200" s="3" t="s">
        <v>29</v>
      </c>
      <c r="S200" s="5">
        <v>927003.0</v>
      </c>
      <c r="T200" s="3"/>
      <c r="U200" s="3"/>
      <c r="V200" s="3"/>
      <c r="W200" s="3"/>
      <c r="X200" s="3"/>
    </row>
    <row r="201">
      <c r="A201" s="3" t="s">
        <v>450</v>
      </c>
      <c r="B201" s="3" t="s">
        <v>451</v>
      </c>
      <c r="C201" s="3" t="s">
        <v>21</v>
      </c>
      <c r="D201" s="3" t="s">
        <v>22</v>
      </c>
      <c r="E201" s="3" t="s">
        <v>435</v>
      </c>
      <c r="F201" s="3" t="s">
        <v>28</v>
      </c>
      <c r="G201" s="3" t="s">
        <v>29</v>
      </c>
      <c r="H201" s="3" t="s">
        <v>30</v>
      </c>
      <c r="I201" s="3" t="s">
        <v>25</v>
      </c>
      <c r="J201" s="3" t="s">
        <v>30</v>
      </c>
      <c r="K201" s="3" t="s">
        <v>25</v>
      </c>
      <c r="L201" s="5">
        <v>500.0</v>
      </c>
      <c r="M201" s="5">
        <v>300.0</v>
      </c>
      <c r="N201" s="5">
        <v>300.0</v>
      </c>
      <c r="O201" s="5">
        <v>1100.0</v>
      </c>
      <c r="P201" s="6">
        <v>44670.0</v>
      </c>
      <c r="Q201" s="3" t="s">
        <v>31</v>
      </c>
      <c r="R201" s="3" t="s">
        <v>29</v>
      </c>
      <c r="S201" s="5">
        <v>1094285.0</v>
      </c>
      <c r="T201" s="3"/>
      <c r="U201" s="3"/>
      <c r="V201" s="3"/>
      <c r="W201" s="3"/>
      <c r="X201" s="3"/>
    </row>
    <row r="202">
      <c r="A202" s="3" t="s">
        <v>452</v>
      </c>
      <c r="B202" s="3" t="s">
        <v>453</v>
      </c>
      <c r="C202" s="3" t="s">
        <v>21</v>
      </c>
      <c r="D202" s="3" t="s">
        <v>22</v>
      </c>
      <c r="E202" s="3" t="s">
        <v>435</v>
      </c>
      <c r="F202" s="3" t="s">
        <v>28</v>
      </c>
      <c r="G202" s="3" t="s">
        <v>29</v>
      </c>
      <c r="H202" s="3" t="s">
        <v>30</v>
      </c>
      <c r="I202" s="3" t="s">
        <v>25</v>
      </c>
      <c r="J202" s="3" t="s">
        <v>24</v>
      </c>
      <c r="K202" s="3" t="s">
        <v>25</v>
      </c>
      <c r="L202" s="5">
        <v>535.0</v>
      </c>
      <c r="M202" s="5">
        <v>311.0</v>
      </c>
      <c r="N202" s="5">
        <v>250.0</v>
      </c>
      <c r="O202" s="5">
        <v>1096.0</v>
      </c>
      <c r="P202" s="6">
        <v>44668.0</v>
      </c>
      <c r="Q202" s="3" t="s">
        <v>31</v>
      </c>
      <c r="R202" s="3" t="s">
        <v>29</v>
      </c>
      <c r="S202" s="5">
        <v>1474735.0</v>
      </c>
      <c r="T202" s="3"/>
      <c r="U202" s="3"/>
      <c r="V202" s="3"/>
      <c r="W202" s="3"/>
      <c r="X202" s="3"/>
    </row>
    <row r="203">
      <c r="A203" s="3" t="s">
        <v>454</v>
      </c>
      <c r="B203" s="3" t="s">
        <v>455</v>
      </c>
      <c r="C203" s="3" t="s">
        <v>21</v>
      </c>
      <c r="D203" s="3" t="s">
        <v>59</v>
      </c>
      <c r="E203" s="3" t="s">
        <v>435</v>
      </c>
      <c r="F203" s="3" t="s">
        <v>31</v>
      </c>
      <c r="G203" s="3" t="s">
        <v>29</v>
      </c>
      <c r="H203" s="3" t="s">
        <v>30</v>
      </c>
      <c r="I203" s="3" t="s">
        <v>25</v>
      </c>
      <c r="J203" s="3" t="s">
        <v>30</v>
      </c>
      <c r="K203" s="3" t="s">
        <v>25</v>
      </c>
      <c r="L203" s="5">
        <v>451.0</v>
      </c>
      <c r="M203" s="5">
        <v>300.0</v>
      </c>
      <c r="N203" s="5">
        <v>330.0</v>
      </c>
      <c r="O203" s="5">
        <v>1081.0</v>
      </c>
      <c r="P203" s="6">
        <v>44669.0</v>
      </c>
      <c r="Q203" s="3" t="s">
        <v>31</v>
      </c>
      <c r="R203" s="3" t="s">
        <v>29</v>
      </c>
      <c r="S203" s="5">
        <v>65770.0</v>
      </c>
      <c r="T203" s="3"/>
      <c r="U203" s="3"/>
      <c r="V203" s="3"/>
      <c r="W203" s="3"/>
      <c r="X203" s="3"/>
    </row>
    <row r="204">
      <c r="A204" s="3" t="s">
        <v>456</v>
      </c>
      <c r="B204" s="3" t="s">
        <v>457</v>
      </c>
      <c r="C204" s="3" t="s">
        <v>21</v>
      </c>
      <c r="D204" s="3" t="s">
        <v>59</v>
      </c>
      <c r="E204" s="3" t="s">
        <v>435</v>
      </c>
      <c r="F204" s="3" t="s">
        <v>28</v>
      </c>
      <c r="G204" s="3" t="s">
        <v>29</v>
      </c>
      <c r="H204" s="3" t="s">
        <v>24</v>
      </c>
      <c r="I204" s="3" t="s">
        <v>25</v>
      </c>
      <c r="J204" s="3" t="s">
        <v>24</v>
      </c>
      <c r="K204" s="3" t="s">
        <v>25</v>
      </c>
      <c r="L204" s="5">
        <v>500.0</v>
      </c>
      <c r="M204" s="5">
        <v>240.0</v>
      </c>
      <c r="N204" s="5">
        <v>215.0</v>
      </c>
      <c r="O204" s="5">
        <v>955.0</v>
      </c>
      <c r="P204" s="6">
        <v>44873.0</v>
      </c>
      <c r="Q204" s="3" t="s">
        <v>31</v>
      </c>
      <c r="R204" s="3" t="s">
        <v>29</v>
      </c>
      <c r="S204" s="5">
        <v>80420.0</v>
      </c>
      <c r="T204" s="3"/>
      <c r="U204" s="3"/>
      <c r="V204" s="3"/>
      <c r="W204" s="3"/>
      <c r="X204" s="3"/>
    </row>
    <row r="205">
      <c r="A205" s="3" t="s">
        <v>458</v>
      </c>
      <c r="B205" s="3" t="s">
        <v>459</v>
      </c>
      <c r="C205" s="3" t="s">
        <v>21</v>
      </c>
      <c r="D205" s="3" t="s">
        <v>59</v>
      </c>
      <c r="E205" s="3" t="s">
        <v>435</v>
      </c>
      <c r="F205" s="3" t="s">
        <v>24</v>
      </c>
      <c r="G205" s="3" t="s">
        <v>25</v>
      </c>
      <c r="H205" s="3" t="s">
        <v>30</v>
      </c>
      <c r="I205" s="3" t="s">
        <v>25</v>
      </c>
      <c r="J205" s="3" t="s">
        <v>31</v>
      </c>
      <c r="K205" s="3" t="s">
        <v>29</v>
      </c>
      <c r="L205" s="5">
        <v>222.0</v>
      </c>
      <c r="M205" s="5">
        <v>302.0</v>
      </c>
      <c r="N205" s="5">
        <v>428.0</v>
      </c>
      <c r="O205" s="5">
        <v>952.0</v>
      </c>
      <c r="P205" s="6">
        <v>44667.0</v>
      </c>
      <c r="Q205" s="3" t="s">
        <v>31</v>
      </c>
      <c r="R205" s="3" t="s">
        <v>29</v>
      </c>
      <c r="S205" s="5">
        <v>1584754.0</v>
      </c>
      <c r="T205" s="3"/>
      <c r="U205" s="3"/>
      <c r="V205" s="3"/>
      <c r="W205" s="3"/>
      <c r="X205" s="3"/>
    </row>
    <row r="206">
      <c r="A206" s="3" t="s">
        <v>460</v>
      </c>
      <c r="B206" s="3" t="s">
        <v>461</v>
      </c>
      <c r="C206" s="3" t="s">
        <v>21</v>
      </c>
      <c r="D206" s="3" t="s">
        <v>59</v>
      </c>
      <c r="E206" s="3" t="s">
        <v>435</v>
      </c>
      <c r="F206" s="3" t="s">
        <v>30</v>
      </c>
      <c r="G206" s="3" t="s">
        <v>25</v>
      </c>
      <c r="H206" s="3" t="s">
        <v>30</v>
      </c>
      <c r="I206" s="3" t="s">
        <v>25</v>
      </c>
      <c r="J206" s="3" t="s">
        <v>30</v>
      </c>
      <c r="K206" s="3" t="s">
        <v>25</v>
      </c>
      <c r="L206" s="5">
        <v>320.0</v>
      </c>
      <c r="M206" s="5">
        <v>317.0</v>
      </c>
      <c r="N206" s="5">
        <v>300.0</v>
      </c>
      <c r="O206" s="5">
        <v>937.0</v>
      </c>
      <c r="P206" s="6">
        <v>44671.0</v>
      </c>
      <c r="Q206" s="3" t="s">
        <v>31</v>
      </c>
      <c r="R206" s="3" t="s">
        <v>29</v>
      </c>
      <c r="S206" s="5">
        <v>877212.0</v>
      </c>
      <c r="T206" s="3"/>
      <c r="U206" s="3"/>
      <c r="V206" s="3"/>
      <c r="W206" s="3"/>
      <c r="X206" s="3"/>
    </row>
    <row r="207">
      <c r="A207" s="3" t="s">
        <v>462</v>
      </c>
      <c r="B207" s="3" t="s">
        <v>463</v>
      </c>
      <c r="C207" s="3" t="s">
        <v>21</v>
      </c>
      <c r="D207" s="3" t="s">
        <v>59</v>
      </c>
      <c r="E207" s="3" t="s">
        <v>435</v>
      </c>
      <c r="F207" s="3" t="s">
        <v>31</v>
      </c>
      <c r="G207" s="3" t="s">
        <v>29</v>
      </c>
      <c r="H207" s="3" t="s">
        <v>24</v>
      </c>
      <c r="I207" s="3" t="s">
        <v>25</v>
      </c>
      <c r="J207" s="3" t="s">
        <v>24</v>
      </c>
      <c r="K207" s="3" t="s">
        <v>25</v>
      </c>
      <c r="L207" s="5">
        <v>410.0</v>
      </c>
      <c r="M207" s="5">
        <v>286.0</v>
      </c>
      <c r="N207" s="5">
        <v>240.0</v>
      </c>
      <c r="O207" s="5">
        <v>936.0</v>
      </c>
      <c r="P207" s="6">
        <v>44723.0</v>
      </c>
      <c r="Q207" s="3" t="s">
        <v>31</v>
      </c>
      <c r="R207" s="3" t="s">
        <v>29</v>
      </c>
      <c r="S207" s="5">
        <v>943034.0</v>
      </c>
      <c r="T207" s="3"/>
      <c r="U207" s="3"/>
      <c r="V207" s="3"/>
      <c r="W207" s="3"/>
      <c r="X207" s="3"/>
    </row>
    <row r="208">
      <c r="A208" s="3" t="s">
        <v>464</v>
      </c>
      <c r="B208" s="3" t="s">
        <v>465</v>
      </c>
      <c r="C208" s="3" t="s">
        <v>21</v>
      </c>
      <c r="D208" s="3" t="s">
        <v>22</v>
      </c>
      <c r="E208" s="3" t="s">
        <v>435</v>
      </c>
      <c r="F208" s="3" t="s">
        <v>28</v>
      </c>
      <c r="G208" s="3" t="s">
        <v>29</v>
      </c>
      <c r="H208" s="3" t="s">
        <v>24</v>
      </c>
      <c r="I208" s="3" t="s">
        <v>25</v>
      </c>
      <c r="J208" s="3" t="s">
        <v>24</v>
      </c>
      <c r="K208" s="3" t="s">
        <v>25</v>
      </c>
      <c r="L208" s="5">
        <v>510.0</v>
      </c>
      <c r="M208" s="5">
        <v>209.0</v>
      </c>
      <c r="N208" s="5">
        <v>210.0</v>
      </c>
      <c r="O208" s="5">
        <v>929.0</v>
      </c>
      <c r="P208" s="6">
        <v>44872.0</v>
      </c>
      <c r="Q208" s="3" t="s">
        <v>31</v>
      </c>
      <c r="R208" s="3" t="s">
        <v>29</v>
      </c>
      <c r="S208" s="5">
        <v>1408710.0</v>
      </c>
      <c r="T208" s="3"/>
      <c r="U208" s="3"/>
      <c r="V208" s="3"/>
      <c r="W208" s="3"/>
      <c r="X208" s="3"/>
    </row>
    <row r="209">
      <c r="A209" s="3" t="s">
        <v>466</v>
      </c>
      <c r="B209" s="3" t="s">
        <v>467</v>
      </c>
      <c r="C209" s="3" t="s">
        <v>21</v>
      </c>
      <c r="D209" s="3" t="s">
        <v>59</v>
      </c>
      <c r="E209" s="3" t="s">
        <v>435</v>
      </c>
      <c r="F209" s="3" t="s">
        <v>24</v>
      </c>
      <c r="G209" s="3" t="s">
        <v>25</v>
      </c>
      <c r="H209" s="3" t="s">
        <v>30</v>
      </c>
      <c r="I209" s="3" t="s">
        <v>25</v>
      </c>
      <c r="J209" s="3" t="s">
        <v>30</v>
      </c>
      <c r="K209" s="3" t="s">
        <v>25</v>
      </c>
      <c r="L209" s="5">
        <v>299.0</v>
      </c>
      <c r="M209" s="5">
        <v>305.0</v>
      </c>
      <c r="N209" s="5">
        <v>315.0</v>
      </c>
      <c r="O209" s="5">
        <v>919.0</v>
      </c>
      <c r="P209" s="6">
        <v>44873.0</v>
      </c>
      <c r="Q209" s="3" t="s">
        <v>31</v>
      </c>
      <c r="R209" s="3" t="s">
        <v>29</v>
      </c>
      <c r="S209" s="5">
        <v>1449792.0</v>
      </c>
      <c r="T209" s="3"/>
      <c r="U209" s="3"/>
      <c r="V209" s="3"/>
      <c r="W209" s="3"/>
      <c r="X209" s="3"/>
    </row>
    <row r="210">
      <c r="A210" s="3" t="s">
        <v>468</v>
      </c>
      <c r="B210" s="3" t="s">
        <v>469</v>
      </c>
      <c r="C210" s="3" t="s">
        <v>21</v>
      </c>
      <c r="D210" s="3" t="s">
        <v>59</v>
      </c>
      <c r="E210" s="3" t="s">
        <v>435</v>
      </c>
      <c r="F210" s="3" t="s">
        <v>24</v>
      </c>
      <c r="G210" s="3" t="s">
        <v>25</v>
      </c>
      <c r="H210" s="3" t="s">
        <v>24</v>
      </c>
      <c r="I210" s="3" t="s">
        <v>25</v>
      </c>
      <c r="J210" s="3" t="s">
        <v>30</v>
      </c>
      <c r="K210" s="3" t="s">
        <v>25</v>
      </c>
      <c r="L210" s="5">
        <v>285.0</v>
      </c>
      <c r="M210" s="5">
        <v>280.0</v>
      </c>
      <c r="N210" s="5">
        <v>300.0</v>
      </c>
      <c r="O210" s="5">
        <v>865.0</v>
      </c>
      <c r="P210" s="6">
        <v>44722.0</v>
      </c>
      <c r="Q210" s="3" t="s">
        <v>30</v>
      </c>
      <c r="R210" s="3" t="s">
        <v>25</v>
      </c>
      <c r="S210" s="5">
        <v>1831651.0</v>
      </c>
      <c r="T210" s="3"/>
      <c r="U210" s="3"/>
      <c r="V210" s="3"/>
      <c r="W210" s="3"/>
      <c r="X210" s="3"/>
    </row>
    <row r="211">
      <c r="A211" s="3" t="s">
        <v>470</v>
      </c>
      <c r="B211" s="3" t="s">
        <v>471</v>
      </c>
      <c r="C211" s="3" t="s">
        <v>21</v>
      </c>
      <c r="D211" s="3" t="s">
        <v>59</v>
      </c>
      <c r="E211" s="3" t="s">
        <v>435</v>
      </c>
      <c r="F211" s="3" t="s">
        <v>24</v>
      </c>
      <c r="G211" s="3" t="s">
        <v>25</v>
      </c>
      <c r="H211" s="3" t="s">
        <v>24</v>
      </c>
      <c r="I211" s="3" t="s">
        <v>25</v>
      </c>
      <c r="J211" s="3" t="s">
        <v>30</v>
      </c>
      <c r="K211" s="3" t="s">
        <v>25</v>
      </c>
      <c r="L211" s="5">
        <v>235.0</v>
      </c>
      <c r="M211" s="5">
        <v>234.0</v>
      </c>
      <c r="N211" s="5">
        <v>300.0</v>
      </c>
      <c r="O211" s="5">
        <v>769.0</v>
      </c>
      <c r="P211" s="6">
        <v>44667.0</v>
      </c>
      <c r="Q211" s="3" t="s">
        <v>30</v>
      </c>
      <c r="R211" s="3" t="s">
        <v>25</v>
      </c>
      <c r="S211" s="5">
        <v>874292.0</v>
      </c>
      <c r="T211" s="3"/>
      <c r="U211" s="3"/>
      <c r="V211" s="3"/>
      <c r="W211" s="3"/>
      <c r="X211" s="3"/>
    </row>
    <row r="212">
      <c r="A212" s="3" t="s">
        <v>472</v>
      </c>
      <c r="B212" s="3" t="s">
        <v>473</v>
      </c>
      <c r="C212" s="3" t="s">
        <v>21</v>
      </c>
      <c r="D212" s="3" t="s">
        <v>22</v>
      </c>
      <c r="E212" s="3" t="s">
        <v>435</v>
      </c>
      <c r="F212" s="3" t="s">
        <v>30</v>
      </c>
      <c r="G212" s="3" t="s">
        <v>25</v>
      </c>
      <c r="H212" s="3" t="s">
        <v>24</v>
      </c>
      <c r="I212" s="3" t="s">
        <v>25</v>
      </c>
      <c r="J212" s="3" t="s">
        <v>24</v>
      </c>
      <c r="K212" s="3" t="s">
        <v>25</v>
      </c>
      <c r="L212" s="5">
        <v>308.0</v>
      </c>
      <c r="M212" s="5">
        <v>243.0</v>
      </c>
      <c r="N212" s="5">
        <v>210.0</v>
      </c>
      <c r="O212" s="5">
        <v>761.0</v>
      </c>
      <c r="P212" s="6">
        <v>44670.0</v>
      </c>
      <c r="Q212" s="3" t="s">
        <v>30</v>
      </c>
      <c r="R212" s="3" t="s">
        <v>25</v>
      </c>
      <c r="S212" s="5">
        <v>1024478.0</v>
      </c>
      <c r="T212" s="3"/>
      <c r="U212" s="3"/>
      <c r="V212" s="3"/>
      <c r="W212" s="3"/>
      <c r="X212" s="3"/>
    </row>
    <row r="213">
      <c r="A213" s="3" t="s">
        <v>474</v>
      </c>
      <c r="B213" s="3" t="s">
        <v>475</v>
      </c>
      <c r="C213" s="3" t="s">
        <v>84</v>
      </c>
      <c r="D213" s="3" t="s">
        <v>22</v>
      </c>
      <c r="E213" s="3" t="s">
        <v>435</v>
      </c>
      <c r="F213" s="3" t="s">
        <v>24</v>
      </c>
      <c r="G213" s="3" t="s">
        <v>25</v>
      </c>
      <c r="H213" s="3" t="s">
        <v>24</v>
      </c>
      <c r="I213" s="3" t="s">
        <v>25</v>
      </c>
      <c r="J213" s="3" t="s">
        <v>24</v>
      </c>
      <c r="K213" s="3" t="s">
        <v>25</v>
      </c>
      <c r="L213" s="5">
        <v>202.0</v>
      </c>
      <c r="M213" s="5">
        <v>210.0</v>
      </c>
      <c r="N213" s="5">
        <v>295.0</v>
      </c>
      <c r="O213" s="5">
        <v>707.0</v>
      </c>
      <c r="P213" s="6">
        <v>44723.0</v>
      </c>
      <c r="Q213" s="3" t="s">
        <v>24</v>
      </c>
      <c r="R213" s="3" t="s">
        <v>25</v>
      </c>
      <c r="S213" s="5">
        <v>1720446.0</v>
      </c>
      <c r="T213" s="3"/>
      <c r="U213" s="3"/>
      <c r="V213" s="3"/>
      <c r="W213" s="3"/>
      <c r="X213" s="3"/>
    </row>
    <row r="214">
      <c r="A214" s="3" t="s">
        <v>476</v>
      </c>
      <c r="B214" s="3" t="s">
        <v>477</v>
      </c>
      <c r="C214" s="3" t="s">
        <v>21</v>
      </c>
      <c r="D214" s="3" t="s">
        <v>59</v>
      </c>
      <c r="E214" s="3" t="s">
        <v>435</v>
      </c>
      <c r="F214" s="3" t="s">
        <v>24</v>
      </c>
      <c r="G214" s="3" t="s">
        <v>25</v>
      </c>
      <c r="H214" s="3" t="s">
        <v>24</v>
      </c>
      <c r="I214" s="3" t="s">
        <v>25</v>
      </c>
      <c r="J214" s="3" t="s">
        <v>24</v>
      </c>
      <c r="K214" s="3" t="s">
        <v>25</v>
      </c>
      <c r="L214" s="5">
        <v>250.0</v>
      </c>
      <c r="M214" s="5">
        <v>203.0</v>
      </c>
      <c r="N214" s="5">
        <v>220.0</v>
      </c>
      <c r="O214" s="5">
        <v>673.0</v>
      </c>
      <c r="P214" s="6">
        <v>44671.0</v>
      </c>
      <c r="Q214" s="3" t="s">
        <v>24</v>
      </c>
      <c r="R214" s="3" t="s">
        <v>25</v>
      </c>
      <c r="S214" s="5">
        <v>1744494.0</v>
      </c>
      <c r="T214" s="3"/>
      <c r="U214" s="3"/>
      <c r="V214" s="3"/>
      <c r="W214" s="3"/>
      <c r="X214" s="3"/>
    </row>
    <row r="215">
      <c r="A215" s="3" t="s">
        <v>478</v>
      </c>
      <c r="B215" s="3" t="s">
        <v>479</v>
      </c>
      <c r="C215" s="3" t="s">
        <v>21</v>
      </c>
      <c r="D215" s="3" t="s">
        <v>59</v>
      </c>
      <c r="E215" s="3" t="s">
        <v>435</v>
      </c>
      <c r="F215" s="3" t="s">
        <v>24</v>
      </c>
      <c r="G215" s="3" t="s">
        <v>25</v>
      </c>
      <c r="H215" s="3" t="s">
        <v>24</v>
      </c>
      <c r="I215" s="3" t="s">
        <v>25</v>
      </c>
      <c r="J215" s="3" t="s">
        <v>24</v>
      </c>
      <c r="K215" s="3" t="s">
        <v>25</v>
      </c>
      <c r="L215" s="5">
        <v>225.0</v>
      </c>
      <c r="M215" s="5">
        <v>209.0</v>
      </c>
      <c r="N215" s="5">
        <v>200.0</v>
      </c>
      <c r="O215" s="5">
        <v>634.0</v>
      </c>
      <c r="P215" s="6">
        <v>44667.0</v>
      </c>
      <c r="Q215" s="3" t="s">
        <v>24</v>
      </c>
      <c r="R215" s="3" t="s">
        <v>25</v>
      </c>
      <c r="S215" s="5">
        <v>1402057.0</v>
      </c>
      <c r="T215" s="3"/>
      <c r="U215" s="3"/>
      <c r="V215" s="3"/>
      <c r="W215" s="3"/>
      <c r="X215" s="3"/>
    </row>
    <row r="216">
      <c r="A216" s="3" t="s">
        <v>480</v>
      </c>
      <c r="B216" s="3" t="s">
        <v>481</v>
      </c>
      <c r="C216" s="3" t="s">
        <v>84</v>
      </c>
      <c r="D216" s="3" t="s">
        <v>59</v>
      </c>
      <c r="E216" s="3" t="s">
        <v>435</v>
      </c>
      <c r="F216" s="3" t="s">
        <v>24</v>
      </c>
      <c r="G216" s="3" t="s">
        <v>25</v>
      </c>
      <c r="H216" s="3" t="s">
        <v>24</v>
      </c>
      <c r="I216" s="3" t="s">
        <v>25</v>
      </c>
      <c r="J216" s="3" t="s">
        <v>24</v>
      </c>
      <c r="K216" s="3" t="s">
        <v>25</v>
      </c>
      <c r="L216" s="5">
        <v>217.0</v>
      </c>
      <c r="M216" s="5">
        <v>200.0</v>
      </c>
      <c r="N216" s="5">
        <v>200.0</v>
      </c>
      <c r="O216" s="5">
        <v>617.0</v>
      </c>
      <c r="P216" s="6">
        <v>44722.0</v>
      </c>
      <c r="Q216" s="3" t="s">
        <v>24</v>
      </c>
      <c r="R216" s="3" t="s">
        <v>25</v>
      </c>
      <c r="S216" s="5">
        <v>1789299.0</v>
      </c>
      <c r="T216" s="3"/>
      <c r="U216" s="3"/>
      <c r="V216" s="3"/>
      <c r="W216" s="3"/>
      <c r="X216" s="3"/>
    </row>
    <row r="217">
      <c r="A217" s="3" t="s">
        <v>482</v>
      </c>
      <c r="B217" s="3" t="s">
        <v>483</v>
      </c>
      <c r="C217" s="3" t="s">
        <v>21</v>
      </c>
      <c r="D217" s="3" t="s">
        <v>22</v>
      </c>
      <c r="E217" s="3" t="s">
        <v>435</v>
      </c>
      <c r="F217" s="3" t="s">
        <v>24</v>
      </c>
      <c r="G217" s="3" t="s">
        <v>25</v>
      </c>
      <c r="H217" s="3" t="s">
        <v>24</v>
      </c>
      <c r="I217" s="3" t="s">
        <v>25</v>
      </c>
      <c r="J217" s="3" t="s">
        <v>24</v>
      </c>
      <c r="K217" s="3" t="s">
        <v>25</v>
      </c>
      <c r="L217" s="5">
        <v>200.0</v>
      </c>
      <c r="M217" s="5">
        <v>200.0</v>
      </c>
      <c r="N217" s="5">
        <v>200.0</v>
      </c>
      <c r="O217" s="5">
        <v>600.0</v>
      </c>
      <c r="P217" s="6">
        <v>44667.0</v>
      </c>
      <c r="Q217" s="3" t="s">
        <v>24</v>
      </c>
      <c r="R217" s="3" t="s">
        <v>25</v>
      </c>
      <c r="S217" s="5">
        <v>24741.0</v>
      </c>
      <c r="T217" s="3"/>
      <c r="U217" s="3"/>
      <c r="V217" s="3"/>
      <c r="W217" s="3"/>
      <c r="X217" s="3"/>
    </row>
    <row r="218">
      <c r="A218" s="3" t="s">
        <v>484</v>
      </c>
      <c r="B218" s="3" t="s">
        <v>485</v>
      </c>
      <c r="C218" s="3" t="s">
        <v>21</v>
      </c>
      <c r="D218" s="3" t="s">
        <v>22</v>
      </c>
      <c r="E218" s="3" t="s">
        <v>435</v>
      </c>
      <c r="F218" s="3" t="s">
        <v>24</v>
      </c>
      <c r="G218" s="3" t="s">
        <v>25</v>
      </c>
      <c r="H218" s="3" t="s">
        <v>24</v>
      </c>
      <c r="I218" s="3" t="s">
        <v>25</v>
      </c>
      <c r="J218" s="3" t="s">
        <v>24</v>
      </c>
      <c r="K218" s="3" t="s">
        <v>25</v>
      </c>
      <c r="L218" s="5">
        <v>200.0</v>
      </c>
      <c r="M218" s="5">
        <v>200.0</v>
      </c>
      <c r="N218" s="5">
        <v>200.0</v>
      </c>
      <c r="O218" s="5">
        <v>600.0</v>
      </c>
      <c r="P218" s="6">
        <v>44670.0</v>
      </c>
      <c r="Q218" s="3" t="s">
        <v>24</v>
      </c>
      <c r="R218" s="3" t="s">
        <v>25</v>
      </c>
      <c r="S218" s="5">
        <v>1385157.0</v>
      </c>
      <c r="T218" s="3"/>
      <c r="U218" s="3"/>
      <c r="V218" s="3"/>
      <c r="W218" s="3"/>
      <c r="X218" s="3"/>
    </row>
    <row r="219">
      <c r="A219" s="3" t="s">
        <v>486</v>
      </c>
      <c r="B219" s="3" t="s">
        <v>487</v>
      </c>
      <c r="C219" s="3" t="s">
        <v>21</v>
      </c>
      <c r="D219" s="3" t="s">
        <v>59</v>
      </c>
      <c r="E219" s="3" t="s">
        <v>435</v>
      </c>
      <c r="F219" s="3" t="s">
        <v>24</v>
      </c>
      <c r="G219" s="3" t="s">
        <v>25</v>
      </c>
      <c r="H219" s="3" t="s">
        <v>24</v>
      </c>
      <c r="I219" s="3" t="s">
        <v>25</v>
      </c>
      <c r="J219" s="3" t="s">
        <v>24</v>
      </c>
      <c r="K219" s="3" t="s">
        <v>25</v>
      </c>
      <c r="L219" s="5">
        <v>200.0</v>
      </c>
      <c r="M219" s="5">
        <v>200.0</v>
      </c>
      <c r="N219" s="5">
        <v>200.0</v>
      </c>
      <c r="O219" s="5">
        <v>600.0</v>
      </c>
      <c r="P219" s="6">
        <v>44717.0</v>
      </c>
      <c r="Q219" s="3" t="s">
        <v>24</v>
      </c>
      <c r="R219" s="3" t="s">
        <v>25</v>
      </c>
      <c r="S219" s="5">
        <v>1622345.0</v>
      </c>
      <c r="T219" s="3"/>
      <c r="U219" s="3"/>
      <c r="V219" s="3"/>
      <c r="W219" s="3"/>
      <c r="X219" s="3"/>
    </row>
    <row r="220">
      <c r="A220" s="3" t="s">
        <v>488</v>
      </c>
      <c r="B220" s="3" t="s">
        <v>489</v>
      </c>
      <c r="C220" s="3" t="s">
        <v>21</v>
      </c>
      <c r="D220" s="3" t="s">
        <v>22</v>
      </c>
      <c r="E220" s="3" t="s">
        <v>490</v>
      </c>
      <c r="F220" s="3" t="s">
        <v>147</v>
      </c>
      <c r="G220" s="3" t="s">
        <v>148</v>
      </c>
      <c r="H220" s="3" t="s">
        <v>28</v>
      </c>
      <c r="I220" s="3" t="s">
        <v>29</v>
      </c>
      <c r="J220" s="3" t="s">
        <v>30</v>
      </c>
      <c r="K220" s="3" t="s">
        <v>25</v>
      </c>
      <c r="L220" s="5">
        <v>687.0</v>
      </c>
      <c r="M220" s="5">
        <v>544.0</v>
      </c>
      <c r="N220" s="5">
        <v>305.0</v>
      </c>
      <c r="O220" s="5">
        <v>1536.0</v>
      </c>
      <c r="P220" s="6">
        <v>44667.0</v>
      </c>
      <c r="Q220" s="3" t="s">
        <v>28</v>
      </c>
      <c r="R220" s="3" t="s">
        <v>29</v>
      </c>
      <c r="S220" s="5">
        <v>1163165.0</v>
      </c>
      <c r="T220" s="3"/>
      <c r="U220" s="3"/>
      <c r="V220" s="3"/>
      <c r="W220" s="3"/>
      <c r="X220" s="3"/>
    </row>
    <row r="221">
      <c r="A221" s="3" t="s">
        <v>491</v>
      </c>
      <c r="B221" s="3" t="s">
        <v>492</v>
      </c>
      <c r="C221" s="3" t="s">
        <v>21</v>
      </c>
      <c r="D221" s="3" t="s">
        <v>22</v>
      </c>
      <c r="E221" s="3" t="s">
        <v>490</v>
      </c>
      <c r="F221" s="3" t="s">
        <v>147</v>
      </c>
      <c r="G221" s="3" t="s">
        <v>148</v>
      </c>
      <c r="H221" s="3" t="s">
        <v>31</v>
      </c>
      <c r="I221" s="3" t="s">
        <v>29</v>
      </c>
      <c r="J221" s="3" t="s">
        <v>30</v>
      </c>
      <c r="K221" s="3" t="s">
        <v>25</v>
      </c>
      <c r="L221" s="5">
        <v>700.0</v>
      </c>
      <c r="M221" s="5">
        <v>412.0</v>
      </c>
      <c r="N221" s="5">
        <v>300.0</v>
      </c>
      <c r="O221" s="5">
        <v>1412.0</v>
      </c>
      <c r="P221" s="6">
        <v>44669.0</v>
      </c>
      <c r="Q221" s="3" t="s">
        <v>28</v>
      </c>
      <c r="R221" s="3" t="s">
        <v>29</v>
      </c>
      <c r="S221" s="5">
        <v>1038357.0</v>
      </c>
      <c r="T221" s="3"/>
      <c r="U221" s="3"/>
      <c r="V221" s="3"/>
      <c r="W221" s="3"/>
      <c r="X221" s="3"/>
    </row>
    <row r="222">
      <c r="A222" s="3" t="s">
        <v>493</v>
      </c>
      <c r="B222" s="3" t="s">
        <v>494</v>
      </c>
      <c r="C222" s="3" t="s">
        <v>21</v>
      </c>
      <c r="D222" s="3" t="s">
        <v>22</v>
      </c>
      <c r="E222" s="3" t="s">
        <v>490</v>
      </c>
      <c r="F222" s="3" t="s">
        <v>147</v>
      </c>
      <c r="G222" s="3" t="s">
        <v>148</v>
      </c>
      <c r="H222" s="3" t="s">
        <v>30</v>
      </c>
      <c r="I222" s="3" t="s">
        <v>25</v>
      </c>
      <c r="J222" s="3" t="s">
        <v>30</v>
      </c>
      <c r="K222" s="3" t="s">
        <v>25</v>
      </c>
      <c r="L222" s="5">
        <v>700.0</v>
      </c>
      <c r="M222" s="5">
        <v>366.0</v>
      </c>
      <c r="N222" s="5">
        <v>315.0</v>
      </c>
      <c r="O222" s="5">
        <v>1381.0</v>
      </c>
      <c r="P222" s="6">
        <v>44669.0</v>
      </c>
      <c r="Q222" s="3" t="s">
        <v>28</v>
      </c>
      <c r="R222" s="3" t="s">
        <v>29</v>
      </c>
      <c r="S222" s="5">
        <v>1510295.0</v>
      </c>
      <c r="T222" s="3"/>
      <c r="U222" s="3"/>
      <c r="V222" s="3"/>
      <c r="W222" s="3"/>
      <c r="X222" s="3"/>
    </row>
    <row r="223">
      <c r="A223" s="3" t="s">
        <v>495</v>
      </c>
      <c r="B223" s="3" t="s">
        <v>496</v>
      </c>
      <c r="C223" s="3" t="s">
        <v>21</v>
      </c>
      <c r="D223" s="3" t="s">
        <v>22</v>
      </c>
      <c r="E223" s="3" t="s">
        <v>490</v>
      </c>
      <c r="F223" s="3" t="s">
        <v>28</v>
      </c>
      <c r="G223" s="3" t="s">
        <v>29</v>
      </c>
      <c r="H223" s="3" t="s">
        <v>30</v>
      </c>
      <c r="I223" s="3" t="s">
        <v>25</v>
      </c>
      <c r="J223" s="3" t="s">
        <v>30</v>
      </c>
      <c r="K223" s="3" t="s">
        <v>25</v>
      </c>
      <c r="L223" s="5">
        <v>581.0</v>
      </c>
      <c r="M223" s="5">
        <v>326.0</v>
      </c>
      <c r="N223" s="5">
        <v>355.0</v>
      </c>
      <c r="O223" s="5">
        <v>1262.0</v>
      </c>
      <c r="P223" s="6">
        <v>44669.0</v>
      </c>
      <c r="Q223" s="3" t="s">
        <v>28</v>
      </c>
      <c r="R223" s="3" t="s">
        <v>29</v>
      </c>
      <c r="S223" s="5">
        <v>1039684.0</v>
      </c>
      <c r="T223" s="3"/>
      <c r="U223" s="3"/>
      <c r="V223" s="3"/>
      <c r="W223" s="3"/>
      <c r="X223" s="3"/>
    </row>
    <row r="224">
      <c r="A224" s="3" t="s">
        <v>497</v>
      </c>
      <c r="B224" s="3" t="s">
        <v>498</v>
      </c>
      <c r="C224" s="3" t="s">
        <v>21</v>
      </c>
      <c r="D224" s="3" t="s">
        <v>22</v>
      </c>
      <c r="E224" s="3" t="s">
        <v>490</v>
      </c>
      <c r="F224" s="3" t="s">
        <v>147</v>
      </c>
      <c r="G224" s="3" t="s">
        <v>148</v>
      </c>
      <c r="H224" s="3" t="s">
        <v>30</v>
      </c>
      <c r="I224" s="3" t="s">
        <v>25</v>
      </c>
      <c r="J224" s="3" t="s">
        <v>30</v>
      </c>
      <c r="K224" s="3" t="s">
        <v>25</v>
      </c>
      <c r="L224" s="5">
        <v>608.0</v>
      </c>
      <c r="M224" s="5">
        <v>307.0</v>
      </c>
      <c r="N224" s="5">
        <v>330.0</v>
      </c>
      <c r="O224" s="5">
        <v>1245.0</v>
      </c>
      <c r="P224" s="6">
        <v>44670.0</v>
      </c>
      <c r="Q224" s="3" t="s">
        <v>28</v>
      </c>
      <c r="R224" s="3" t="s">
        <v>29</v>
      </c>
      <c r="S224" s="5">
        <v>1035002.0</v>
      </c>
      <c r="T224" s="3"/>
      <c r="U224" s="3"/>
      <c r="V224" s="3"/>
      <c r="W224" s="3"/>
      <c r="X224" s="3"/>
    </row>
    <row r="225">
      <c r="A225" s="3" t="s">
        <v>499</v>
      </c>
      <c r="B225" s="3" t="s">
        <v>500</v>
      </c>
      <c r="C225" s="3" t="s">
        <v>21</v>
      </c>
      <c r="D225" s="3" t="s">
        <v>22</v>
      </c>
      <c r="E225" s="3" t="s">
        <v>490</v>
      </c>
      <c r="F225" s="3" t="s">
        <v>28</v>
      </c>
      <c r="G225" s="3" t="s">
        <v>29</v>
      </c>
      <c r="H225" s="3" t="s">
        <v>30</v>
      </c>
      <c r="I225" s="3" t="s">
        <v>25</v>
      </c>
      <c r="J225" s="3" t="s">
        <v>30</v>
      </c>
      <c r="K225" s="3" t="s">
        <v>25</v>
      </c>
      <c r="L225" s="5">
        <v>569.0</v>
      </c>
      <c r="M225" s="5">
        <v>363.0</v>
      </c>
      <c r="N225" s="5">
        <v>310.0</v>
      </c>
      <c r="O225" s="5">
        <v>1242.0</v>
      </c>
      <c r="P225" s="6">
        <v>44669.0</v>
      </c>
      <c r="Q225" s="3" t="s">
        <v>28</v>
      </c>
      <c r="R225" s="3" t="s">
        <v>29</v>
      </c>
      <c r="S225" s="5">
        <v>1534701.0</v>
      </c>
      <c r="T225" s="3"/>
      <c r="U225" s="3"/>
      <c r="V225" s="3"/>
      <c r="W225" s="3"/>
      <c r="X225" s="3"/>
    </row>
    <row r="226">
      <c r="A226" s="3" t="s">
        <v>501</v>
      </c>
      <c r="B226" s="3" t="s">
        <v>502</v>
      </c>
      <c r="C226" s="3" t="s">
        <v>21</v>
      </c>
      <c r="D226" s="3" t="s">
        <v>22</v>
      </c>
      <c r="E226" s="3" t="s">
        <v>490</v>
      </c>
      <c r="F226" s="3" t="s">
        <v>28</v>
      </c>
      <c r="G226" s="3" t="s">
        <v>29</v>
      </c>
      <c r="H226" s="3" t="s">
        <v>30</v>
      </c>
      <c r="I226" s="3" t="s">
        <v>25</v>
      </c>
      <c r="J226" s="3" t="s">
        <v>30</v>
      </c>
      <c r="K226" s="3" t="s">
        <v>25</v>
      </c>
      <c r="L226" s="5">
        <v>555.0</v>
      </c>
      <c r="M226" s="5">
        <v>329.0</v>
      </c>
      <c r="N226" s="5">
        <v>310.0</v>
      </c>
      <c r="O226" s="5">
        <v>1194.0</v>
      </c>
      <c r="P226" s="6">
        <v>44723.0</v>
      </c>
      <c r="Q226" s="3" t="s">
        <v>31</v>
      </c>
      <c r="R226" s="3" t="s">
        <v>29</v>
      </c>
      <c r="S226" s="5">
        <v>858470.0</v>
      </c>
      <c r="T226" s="3"/>
      <c r="U226" s="3"/>
      <c r="V226" s="3"/>
      <c r="W226" s="3"/>
      <c r="X226" s="3"/>
    </row>
    <row r="227">
      <c r="A227" s="3" t="s">
        <v>503</v>
      </c>
      <c r="B227" s="3" t="s">
        <v>504</v>
      </c>
      <c r="C227" s="3" t="s">
        <v>21</v>
      </c>
      <c r="D227" s="3" t="s">
        <v>22</v>
      </c>
      <c r="E227" s="3" t="s">
        <v>490</v>
      </c>
      <c r="F227" s="3" t="s">
        <v>28</v>
      </c>
      <c r="G227" s="3" t="s">
        <v>29</v>
      </c>
      <c r="H227" s="3" t="s">
        <v>30</v>
      </c>
      <c r="I227" s="3" t="s">
        <v>25</v>
      </c>
      <c r="J227" s="3" t="s">
        <v>30</v>
      </c>
      <c r="K227" s="3" t="s">
        <v>25</v>
      </c>
      <c r="L227" s="5">
        <v>538.0</v>
      </c>
      <c r="M227" s="5">
        <v>322.0</v>
      </c>
      <c r="N227" s="5">
        <v>313.0</v>
      </c>
      <c r="O227" s="5">
        <v>1173.0</v>
      </c>
      <c r="P227" s="6">
        <v>44668.0</v>
      </c>
      <c r="Q227" s="3" t="s">
        <v>31</v>
      </c>
      <c r="R227" s="3" t="s">
        <v>29</v>
      </c>
      <c r="S227" s="5">
        <v>34088.0</v>
      </c>
      <c r="T227" s="3"/>
      <c r="U227" s="3"/>
      <c r="V227" s="3"/>
      <c r="W227" s="3"/>
      <c r="X227" s="3"/>
    </row>
    <row r="228">
      <c r="A228" s="3" t="s">
        <v>505</v>
      </c>
      <c r="B228" s="3" t="s">
        <v>506</v>
      </c>
      <c r="C228" s="3" t="s">
        <v>21</v>
      </c>
      <c r="D228" s="3" t="s">
        <v>22</v>
      </c>
      <c r="E228" s="3" t="s">
        <v>490</v>
      </c>
      <c r="F228" s="3" t="s">
        <v>28</v>
      </c>
      <c r="G228" s="3" t="s">
        <v>29</v>
      </c>
      <c r="H228" s="3" t="s">
        <v>30</v>
      </c>
      <c r="I228" s="3" t="s">
        <v>25</v>
      </c>
      <c r="J228" s="3" t="s">
        <v>30</v>
      </c>
      <c r="K228" s="3" t="s">
        <v>25</v>
      </c>
      <c r="L228" s="5">
        <v>570.0</v>
      </c>
      <c r="M228" s="5">
        <v>301.0</v>
      </c>
      <c r="N228" s="5">
        <v>300.0</v>
      </c>
      <c r="O228" s="5">
        <v>1171.0</v>
      </c>
      <c r="P228" s="6">
        <v>44668.0</v>
      </c>
      <c r="Q228" s="3" t="s">
        <v>31</v>
      </c>
      <c r="R228" s="3" t="s">
        <v>29</v>
      </c>
      <c r="S228" s="5">
        <v>1090012.0</v>
      </c>
      <c r="T228" s="3"/>
      <c r="U228" s="3"/>
      <c r="V228" s="3"/>
      <c r="W228" s="3"/>
      <c r="X228" s="3"/>
    </row>
    <row r="229">
      <c r="A229" s="3" t="s">
        <v>507</v>
      </c>
      <c r="B229" s="3" t="s">
        <v>508</v>
      </c>
      <c r="C229" s="3" t="s">
        <v>21</v>
      </c>
      <c r="D229" s="3" t="s">
        <v>59</v>
      </c>
      <c r="E229" s="3" t="s">
        <v>490</v>
      </c>
      <c r="F229" s="3" t="s">
        <v>28</v>
      </c>
      <c r="G229" s="3" t="s">
        <v>29</v>
      </c>
      <c r="H229" s="3" t="s">
        <v>30</v>
      </c>
      <c r="I229" s="3" t="s">
        <v>25</v>
      </c>
      <c r="J229" s="3" t="s">
        <v>30</v>
      </c>
      <c r="K229" s="3" t="s">
        <v>25</v>
      </c>
      <c r="L229" s="5">
        <v>510.0</v>
      </c>
      <c r="M229" s="5">
        <v>316.0</v>
      </c>
      <c r="N229" s="5">
        <v>325.0</v>
      </c>
      <c r="O229" s="5">
        <v>1151.0</v>
      </c>
      <c r="P229" s="6">
        <v>44667.0</v>
      </c>
      <c r="Q229" s="3" t="s">
        <v>31</v>
      </c>
      <c r="R229" s="3" t="s">
        <v>29</v>
      </c>
      <c r="S229" s="5">
        <v>1841666.0</v>
      </c>
      <c r="T229" s="3"/>
      <c r="U229" s="3"/>
      <c r="V229" s="3"/>
      <c r="W229" s="3"/>
      <c r="X229" s="3"/>
    </row>
    <row r="230">
      <c r="A230" s="3" t="s">
        <v>509</v>
      </c>
      <c r="B230" s="3" t="s">
        <v>510</v>
      </c>
      <c r="C230" s="3" t="s">
        <v>21</v>
      </c>
      <c r="D230" s="3" t="s">
        <v>22</v>
      </c>
      <c r="E230" s="3" t="s">
        <v>490</v>
      </c>
      <c r="F230" s="3" t="s">
        <v>28</v>
      </c>
      <c r="G230" s="3" t="s">
        <v>29</v>
      </c>
      <c r="H230" s="3" t="s">
        <v>30</v>
      </c>
      <c r="I230" s="3" t="s">
        <v>25</v>
      </c>
      <c r="J230" s="3" t="s">
        <v>30</v>
      </c>
      <c r="K230" s="3" t="s">
        <v>25</v>
      </c>
      <c r="L230" s="5">
        <v>530.0</v>
      </c>
      <c r="M230" s="5">
        <v>313.0</v>
      </c>
      <c r="N230" s="5">
        <v>305.0</v>
      </c>
      <c r="O230" s="5">
        <v>1148.0</v>
      </c>
      <c r="P230" s="6">
        <v>44672.0</v>
      </c>
      <c r="Q230" s="3" t="s">
        <v>31</v>
      </c>
      <c r="R230" s="3" t="s">
        <v>29</v>
      </c>
      <c r="S230" s="5">
        <v>101778.0</v>
      </c>
      <c r="T230" s="3"/>
      <c r="U230" s="3"/>
      <c r="V230" s="3"/>
      <c r="W230" s="3"/>
      <c r="X230" s="3"/>
    </row>
    <row r="231">
      <c r="A231" s="3" t="s">
        <v>511</v>
      </c>
      <c r="B231" s="3" t="s">
        <v>512</v>
      </c>
      <c r="C231" s="3" t="s">
        <v>21</v>
      </c>
      <c r="D231" s="3" t="s">
        <v>22</v>
      </c>
      <c r="E231" s="3" t="s">
        <v>490</v>
      </c>
      <c r="F231" s="3" t="s">
        <v>28</v>
      </c>
      <c r="G231" s="3" t="s">
        <v>29</v>
      </c>
      <c r="H231" s="3" t="s">
        <v>30</v>
      </c>
      <c r="I231" s="3" t="s">
        <v>25</v>
      </c>
      <c r="J231" s="3" t="s">
        <v>30</v>
      </c>
      <c r="K231" s="3" t="s">
        <v>25</v>
      </c>
      <c r="L231" s="5">
        <v>535.0</v>
      </c>
      <c r="M231" s="5">
        <v>300.0</v>
      </c>
      <c r="N231" s="5">
        <v>305.0</v>
      </c>
      <c r="O231" s="5">
        <v>1140.0</v>
      </c>
      <c r="P231" s="6">
        <v>44668.0</v>
      </c>
      <c r="Q231" s="3" t="s">
        <v>31</v>
      </c>
      <c r="R231" s="3" t="s">
        <v>29</v>
      </c>
      <c r="S231" s="5">
        <v>4447.0</v>
      </c>
      <c r="T231" s="3"/>
      <c r="U231" s="3"/>
      <c r="V231" s="3"/>
      <c r="W231" s="3"/>
      <c r="X231" s="3"/>
    </row>
    <row r="232">
      <c r="A232" s="3" t="s">
        <v>513</v>
      </c>
      <c r="B232" s="3" t="s">
        <v>514</v>
      </c>
      <c r="C232" s="3" t="s">
        <v>21</v>
      </c>
      <c r="D232" s="3" t="s">
        <v>22</v>
      </c>
      <c r="E232" s="3" t="s">
        <v>490</v>
      </c>
      <c r="F232" s="3" t="s">
        <v>28</v>
      </c>
      <c r="G232" s="3" t="s">
        <v>29</v>
      </c>
      <c r="H232" s="3" t="s">
        <v>30</v>
      </c>
      <c r="I232" s="3" t="s">
        <v>25</v>
      </c>
      <c r="J232" s="3" t="s">
        <v>30</v>
      </c>
      <c r="K232" s="3" t="s">
        <v>25</v>
      </c>
      <c r="L232" s="5">
        <v>505.0</v>
      </c>
      <c r="M232" s="5">
        <v>302.0</v>
      </c>
      <c r="N232" s="5">
        <v>300.0</v>
      </c>
      <c r="O232" s="5">
        <v>1107.0</v>
      </c>
      <c r="P232" s="6">
        <v>44669.0</v>
      </c>
      <c r="Q232" s="3" t="s">
        <v>31</v>
      </c>
      <c r="R232" s="3" t="s">
        <v>29</v>
      </c>
      <c r="S232" s="5">
        <v>797468.0</v>
      </c>
      <c r="T232" s="3"/>
      <c r="U232" s="3"/>
      <c r="V232" s="3"/>
      <c r="W232" s="3"/>
      <c r="X232" s="3"/>
    </row>
    <row r="233">
      <c r="A233" s="3" t="s">
        <v>515</v>
      </c>
      <c r="B233" s="3" t="s">
        <v>516</v>
      </c>
      <c r="C233" s="3" t="s">
        <v>21</v>
      </c>
      <c r="D233" s="3" t="s">
        <v>22</v>
      </c>
      <c r="E233" s="3" t="s">
        <v>490</v>
      </c>
      <c r="F233" s="3" t="s">
        <v>28</v>
      </c>
      <c r="G233" s="3" t="s">
        <v>29</v>
      </c>
      <c r="H233" s="3" t="s">
        <v>30</v>
      </c>
      <c r="I233" s="3" t="s">
        <v>25</v>
      </c>
      <c r="J233" s="3" t="s">
        <v>30</v>
      </c>
      <c r="K233" s="3" t="s">
        <v>25</v>
      </c>
      <c r="L233" s="5">
        <v>500.0</v>
      </c>
      <c r="M233" s="5">
        <v>300.0</v>
      </c>
      <c r="N233" s="5">
        <v>300.0</v>
      </c>
      <c r="O233" s="5">
        <v>1100.0</v>
      </c>
      <c r="P233" s="6">
        <v>44671.0</v>
      </c>
      <c r="Q233" s="3" t="s">
        <v>31</v>
      </c>
      <c r="R233" s="3" t="s">
        <v>29</v>
      </c>
      <c r="S233" s="5">
        <v>107263.0</v>
      </c>
      <c r="T233" s="3"/>
      <c r="U233" s="3"/>
      <c r="V233" s="3"/>
      <c r="W233" s="3"/>
      <c r="X233" s="3"/>
    </row>
    <row r="234">
      <c r="A234" s="3" t="s">
        <v>517</v>
      </c>
      <c r="B234" s="3" t="s">
        <v>518</v>
      </c>
      <c r="C234" s="3" t="s">
        <v>21</v>
      </c>
      <c r="D234" s="3" t="s">
        <v>59</v>
      </c>
      <c r="E234" s="3" t="s">
        <v>490</v>
      </c>
      <c r="F234" s="3" t="s">
        <v>28</v>
      </c>
      <c r="G234" s="3" t="s">
        <v>29</v>
      </c>
      <c r="H234" s="3" t="s">
        <v>24</v>
      </c>
      <c r="I234" s="3" t="s">
        <v>25</v>
      </c>
      <c r="J234" s="3" t="s">
        <v>30</v>
      </c>
      <c r="K234" s="3" t="s">
        <v>25</v>
      </c>
      <c r="L234" s="5">
        <v>513.0</v>
      </c>
      <c r="M234" s="5">
        <v>271.0</v>
      </c>
      <c r="N234" s="5">
        <v>300.0</v>
      </c>
      <c r="O234" s="5">
        <v>1084.0</v>
      </c>
      <c r="P234" s="6">
        <v>44668.0</v>
      </c>
      <c r="Q234" s="3" t="s">
        <v>31</v>
      </c>
      <c r="R234" s="3" t="s">
        <v>29</v>
      </c>
      <c r="S234" s="5">
        <v>1539838.0</v>
      </c>
      <c r="T234" s="3"/>
      <c r="U234" s="3"/>
      <c r="V234" s="3"/>
      <c r="W234" s="3"/>
      <c r="X234" s="3"/>
    </row>
    <row r="235">
      <c r="A235" s="3" t="s">
        <v>519</v>
      </c>
      <c r="B235" s="3" t="s">
        <v>520</v>
      </c>
      <c r="C235" s="3" t="s">
        <v>21</v>
      </c>
      <c r="D235" s="3" t="s">
        <v>22</v>
      </c>
      <c r="E235" s="3" t="s">
        <v>490</v>
      </c>
      <c r="F235" s="3" t="s">
        <v>28</v>
      </c>
      <c r="G235" s="3" t="s">
        <v>29</v>
      </c>
      <c r="H235" s="3" t="s">
        <v>24</v>
      </c>
      <c r="I235" s="3" t="s">
        <v>25</v>
      </c>
      <c r="J235" s="3" t="s">
        <v>24</v>
      </c>
      <c r="K235" s="3" t="s">
        <v>25</v>
      </c>
      <c r="L235" s="5">
        <v>550.0</v>
      </c>
      <c r="M235" s="5">
        <v>252.0</v>
      </c>
      <c r="N235" s="5">
        <v>240.0</v>
      </c>
      <c r="O235" s="5">
        <v>1042.0</v>
      </c>
      <c r="P235" s="6">
        <v>44668.0</v>
      </c>
      <c r="Q235" s="3" t="s">
        <v>31</v>
      </c>
      <c r="R235" s="3" t="s">
        <v>29</v>
      </c>
      <c r="S235" s="5">
        <v>821189.0</v>
      </c>
      <c r="T235" s="3"/>
      <c r="U235" s="3"/>
      <c r="V235" s="3"/>
      <c r="W235" s="3"/>
      <c r="X235" s="3"/>
    </row>
    <row r="236">
      <c r="A236" s="3" t="s">
        <v>521</v>
      </c>
      <c r="B236" s="3" t="s">
        <v>522</v>
      </c>
      <c r="C236" s="3" t="s">
        <v>21</v>
      </c>
      <c r="D236" s="3" t="s">
        <v>59</v>
      </c>
      <c r="E236" s="3" t="s">
        <v>490</v>
      </c>
      <c r="F236" s="3" t="s">
        <v>31</v>
      </c>
      <c r="G236" s="3" t="s">
        <v>29</v>
      </c>
      <c r="H236" s="3" t="s">
        <v>24</v>
      </c>
      <c r="I236" s="3" t="s">
        <v>25</v>
      </c>
      <c r="J236" s="3" t="s">
        <v>30</v>
      </c>
      <c r="K236" s="3" t="s">
        <v>25</v>
      </c>
      <c r="L236" s="5">
        <v>438.0</v>
      </c>
      <c r="M236" s="5">
        <v>265.0</v>
      </c>
      <c r="N236" s="5">
        <v>315.0</v>
      </c>
      <c r="O236" s="5">
        <v>1018.0</v>
      </c>
      <c r="P236" s="6">
        <v>44873.0</v>
      </c>
      <c r="Q236" s="3" t="s">
        <v>31</v>
      </c>
      <c r="R236" s="3" t="s">
        <v>29</v>
      </c>
      <c r="S236" s="5">
        <v>101594.0</v>
      </c>
      <c r="T236" s="3"/>
      <c r="U236" s="3"/>
      <c r="V236" s="3"/>
      <c r="W236" s="3"/>
      <c r="X236" s="3"/>
    </row>
    <row r="237">
      <c r="A237" s="3" t="s">
        <v>523</v>
      </c>
      <c r="B237" s="3" t="s">
        <v>524</v>
      </c>
      <c r="C237" s="3" t="s">
        <v>21</v>
      </c>
      <c r="D237" s="3" t="s">
        <v>22</v>
      </c>
      <c r="E237" s="3" t="s">
        <v>490</v>
      </c>
      <c r="F237" s="3" t="s">
        <v>28</v>
      </c>
      <c r="G237" s="3" t="s">
        <v>29</v>
      </c>
      <c r="H237" s="3" t="s">
        <v>24</v>
      </c>
      <c r="I237" s="3" t="s">
        <v>25</v>
      </c>
      <c r="J237" s="3" t="s">
        <v>24</v>
      </c>
      <c r="K237" s="3" t="s">
        <v>25</v>
      </c>
      <c r="L237" s="5">
        <v>511.0</v>
      </c>
      <c r="M237" s="5">
        <v>225.0</v>
      </c>
      <c r="N237" s="5">
        <v>215.0</v>
      </c>
      <c r="O237" s="5">
        <v>951.0</v>
      </c>
      <c r="P237" s="6">
        <v>44872.0</v>
      </c>
      <c r="Q237" s="3" t="s">
        <v>31</v>
      </c>
      <c r="R237" s="3" t="s">
        <v>29</v>
      </c>
      <c r="S237" s="5">
        <v>1283140.0</v>
      </c>
      <c r="T237" s="3"/>
      <c r="U237" s="3"/>
      <c r="V237" s="3"/>
      <c r="W237" s="3"/>
      <c r="X237" s="3"/>
    </row>
    <row r="238">
      <c r="A238" s="3" t="s">
        <v>525</v>
      </c>
      <c r="B238" s="3" t="s">
        <v>526</v>
      </c>
      <c r="C238" s="3" t="s">
        <v>21</v>
      </c>
      <c r="D238" s="3" t="s">
        <v>22</v>
      </c>
      <c r="E238" s="3" t="s">
        <v>490</v>
      </c>
      <c r="F238" s="3" t="s">
        <v>30</v>
      </c>
      <c r="G238" s="3" t="s">
        <v>25</v>
      </c>
      <c r="H238" s="3" t="s">
        <v>24</v>
      </c>
      <c r="I238" s="3" t="s">
        <v>25</v>
      </c>
      <c r="J238" s="3" t="s">
        <v>24</v>
      </c>
      <c r="K238" s="3" t="s">
        <v>25</v>
      </c>
      <c r="L238" s="5">
        <v>307.0</v>
      </c>
      <c r="M238" s="5">
        <v>257.0</v>
      </c>
      <c r="N238" s="5">
        <v>255.0</v>
      </c>
      <c r="O238" s="5">
        <v>819.0</v>
      </c>
      <c r="P238" s="7">
        <v>44880.0</v>
      </c>
      <c r="Q238" s="3" t="s">
        <v>30</v>
      </c>
      <c r="R238" s="3" t="s">
        <v>25</v>
      </c>
      <c r="S238" s="5">
        <v>1789832.0</v>
      </c>
      <c r="T238" s="3"/>
      <c r="U238" s="3"/>
      <c r="V238" s="3"/>
      <c r="W238" s="3"/>
      <c r="X238" s="3"/>
    </row>
    <row r="239">
      <c r="A239" s="3" t="s">
        <v>527</v>
      </c>
      <c r="B239" s="3" t="s">
        <v>528</v>
      </c>
      <c r="C239" s="3" t="s">
        <v>21</v>
      </c>
      <c r="D239" s="3" t="s">
        <v>59</v>
      </c>
      <c r="E239" s="3" t="s">
        <v>490</v>
      </c>
      <c r="F239" s="3" t="s">
        <v>24</v>
      </c>
      <c r="G239" s="3" t="s">
        <v>25</v>
      </c>
      <c r="H239" s="3" t="s">
        <v>24</v>
      </c>
      <c r="I239" s="3" t="s">
        <v>25</v>
      </c>
      <c r="J239" s="3" t="s">
        <v>24</v>
      </c>
      <c r="K239" s="3" t="s">
        <v>25</v>
      </c>
      <c r="L239" s="5">
        <v>200.0</v>
      </c>
      <c r="M239" s="5">
        <v>200.0</v>
      </c>
      <c r="N239" s="5">
        <v>260.0</v>
      </c>
      <c r="O239" s="5">
        <v>660.0</v>
      </c>
      <c r="P239" s="6">
        <v>44873.0</v>
      </c>
      <c r="Q239" s="3" t="s">
        <v>24</v>
      </c>
      <c r="R239" s="3" t="s">
        <v>25</v>
      </c>
      <c r="S239" s="5">
        <v>56868.0</v>
      </c>
      <c r="T239" s="3"/>
      <c r="U239" s="3"/>
      <c r="V239" s="3"/>
      <c r="W239" s="3"/>
      <c r="X239" s="3"/>
    </row>
    <row r="240">
      <c r="A240" s="3" t="s">
        <v>529</v>
      </c>
      <c r="B240" s="3" t="s">
        <v>530</v>
      </c>
      <c r="C240" s="3" t="s">
        <v>21</v>
      </c>
      <c r="D240" s="3" t="s">
        <v>22</v>
      </c>
      <c r="E240" s="3" t="s">
        <v>490</v>
      </c>
      <c r="F240" s="3" t="s">
        <v>24</v>
      </c>
      <c r="G240" s="3" t="s">
        <v>25</v>
      </c>
      <c r="H240" s="3" t="s">
        <v>24</v>
      </c>
      <c r="I240" s="3" t="s">
        <v>25</v>
      </c>
      <c r="J240" s="3" t="s">
        <v>24</v>
      </c>
      <c r="K240" s="3" t="s">
        <v>25</v>
      </c>
      <c r="L240" s="5">
        <v>210.0</v>
      </c>
      <c r="M240" s="5">
        <v>217.0</v>
      </c>
      <c r="N240" s="5">
        <v>210.0</v>
      </c>
      <c r="O240" s="5">
        <v>637.0</v>
      </c>
      <c r="P240" s="6">
        <v>44673.0</v>
      </c>
      <c r="Q240" s="3" t="s">
        <v>24</v>
      </c>
      <c r="R240" s="3" t="s">
        <v>25</v>
      </c>
      <c r="S240" s="5">
        <v>93410.0</v>
      </c>
      <c r="T240" s="3"/>
      <c r="U240" s="3"/>
      <c r="V240" s="3"/>
      <c r="W240" s="3"/>
      <c r="X240" s="3"/>
    </row>
    <row r="241">
      <c r="A241" s="3" t="s">
        <v>531</v>
      </c>
      <c r="B241" s="3" t="s">
        <v>532</v>
      </c>
      <c r="C241" s="3" t="s">
        <v>21</v>
      </c>
      <c r="D241" s="3" t="s">
        <v>22</v>
      </c>
      <c r="E241" s="3" t="s">
        <v>533</v>
      </c>
      <c r="F241" s="3" t="s">
        <v>28</v>
      </c>
      <c r="G241" s="3" t="s">
        <v>29</v>
      </c>
      <c r="H241" s="3" t="s">
        <v>30</v>
      </c>
      <c r="I241" s="3" t="s">
        <v>25</v>
      </c>
      <c r="J241" s="3" t="s">
        <v>30</v>
      </c>
      <c r="K241" s="3" t="s">
        <v>25</v>
      </c>
      <c r="L241" s="5">
        <v>580.0</v>
      </c>
      <c r="M241" s="5">
        <v>347.0</v>
      </c>
      <c r="N241" s="5">
        <v>335.0</v>
      </c>
      <c r="O241" s="5">
        <v>1262.0</v>
      </c>
      <c r="P241" s="6">
        <v>44669.0</v>
      </c>
      <c r="Q241" s="3" t="s">
        <v>28</v>
      </c>
      <c r="R241" s="3" t="s">
        <v>29</v>
      </c>
      <c r="S241" s="5">
        <v>1408198.0</v>
      </c>
      <c r="T241" s="3"/>
      <c r="U241" s="3"/>
      <c r="V241" s="3"/>
      <c r="W241" s="3"/>
      <c r="X241" s="3"/>
    </row>
    <row r="242">
      <c r="A242" s="3" t="s">
        <v>534</v>
      </c>
      <c r="B242" s="3" t="s">
        <v>535</v>
      </c>
      <c r="C242" s="3" t="s">
        <v>21</v>
      </c>
      <c r="D242" s="3" t="s">
        <v>22</v>
      </c>
      <c r="E242" s="3" t="s">
        <v>533</v>
      </c>
      <c r="F242" s="3" t="s">
        <v>28</v>
      </c>
      <c r="G242" s="3" t="s">
        <v>29</v>
      </c>
      <c r="H242" s="3" t="s">
        <v>30</v>
      </c>
      <c r="I242" s="3" t="s">
        <v>25</v>
      </c>
      <c r="J242" s="3" t="s">
        <v>30</v>
      </c>
      <c r="K242" s="3" t="s">
        <v>25</v>
      </c>
      <c r="L242" s="5">
        <v>534.0</v>
      </c>
      <c r="M242" s="5">
        <v>343.0</v>
      </c>
      <c r="N242" s="5">
        <v>320.0</v>
      </c>
      <c r="O242" s="5">
        <v>1197.0</v>
      </c>
      <c r="P242" s="6">
        <v>44667.0</v>
      </c>
      <c r="Q242" s="3" t="s">
        <v>31</v>
      </c>
      <c r="R242" s="3" t="s">
        <v>29</v>
      </c>
      <c r="S242" s="5">
        <v>1393818.0</v>
      </c>
      <c r="T242" s="3"/>
      <c r="U242" s="3"/>
      <c r="V242" s="3"/>
      <c r="W242" s="3"/>
      <c r="X242" s="3"/>
    </row>
    <row r="243">
      <c r="A243" s="3" t="s">
        <v>536</v>
      </c>
      <c r="B243" s="3" t="s">
        <v>537</v>
      </c>
      <c r="C243" s="3" t="s">
        <v>21</v>
      </c>
      <c r="D243" s="3" t="s">
        <v>59</v>
      </c>
      <c r="E243" s="3" t="s">
        <v>533</v>
      </c>
      <c r="F243" s="3" t="s">
        <v>28</v>
      </c>
      <c r="G243" s="3" t="s">
        <v>29</v>
      </c>
      <c r="H243" s="3" t="s">
        <v>30</v>
      </c>
      <c r="I243" s="3" t="s">
        <v>25</v>
      </c>
      <c r="J243" s="3" t="s">
        <v>30</v>
      </c>
      <c r="K243" s="3" t="s">
        <v>25</v>
      </c>
      <c r="L243" s="5">
        <v>540.0</v>
      </c>
      <c r="M243" s="5">
        <v>328.0</v>
      </c>
      <c r="N243" s="5">
        <v>315.0</v>
      </c>
      <c r="O243" s="5">
        <v>1183.0</v>
      </c>
      <c r="P243" s="6">
        <v>44671.0</v>
      </c>
      <c r="Q243" s="3" t="s">
        <v>31</v>
      </c>
      <c r="R243" s="3" t="s">
        <v>29</v>
      </c>
      <c r="S243" s="5">
        <v>1823529.0</v>
      </c>
      <c r="T243" s="3"/>
      <c r="U243" s="3"/>
      <c r="V243" s="3"/>
      <c r="W243" s="3"/>
      <c r="X243" s="3"/>
    </row>
    <row r="244">
      <c r="A244" s="3" t="s">
        <v>538</v>
      </c>
      <c r="B244" s="3" t="s">
        <v>539</v>
      </c>
      <c r="C244" s="3" t="s">
        <v>21</v>
      </c>
      <c r="D244" s="3" t="s">
        <v>22</v>
      </c>
      <c r="E244" s="3" t="s">
        <v>533</v>
      </c>
      <c r="F244" s="3" t="s">
        <v>28</v>
      </c>
      <c r="G244" s="3" t="s">
        <v>29</v>
      </c>
      <c r="H244" s="3" t="s">
        <v>30</v>
      </c>
      <c r="I244" s="3" t="s">
        <v>25</v>
      </c>
      <c r="J244" s="3" t="s">
        <v>30</v>
      </c>
      <c r="K244" s="3" t="s">
        <v>25</v>
      </c>
      <c r="L244" s="5">
        <v>555.0</v>
      </c>
      <c r="M244" s="5">
        <v>303.0</v>
      </c>
      <c r="N244" s="5">
        <v>320.0</v>
      </c>
      <c r="O244" s="5">
        <v>1178.0</v>
      </c>
      <c r="P244" s="6">
        <v>44669.0</v>
      </c>
      <c r="Q244" s="3" t="s">
        <v>31</v>
      </c>
      <c r="R244" s="3" t="s">
        <v>29</v>
      </c>
      <c r="S244" s="5">
        <v>895421.0</v>
      </c>
      <c r="T244" s="3"/>
      <c r="U244" s="3"/>
      <c r="V244" s="3"/>
      <c r="W244" s="3"/>
      <c r="X244" s="3"/>
    </row>
    <row r="245">
      <c r="A245" s="3" t="s">
        <v>540</v>
      </c>
      <c r="B245" s="3" t="s">
        <v>541</v>
      </c>
      <c r="C245" s="3" t="s">
        <v>21</v>
      </c>
      <c r="D245" s="3" t="s">
        <v>59</v>
      </c>
      <c r="E245" s="3" t="s">
        <v>533</v>
      </c>
      <c r="F245" s="3" t="s">
        <v>28</v>
      </c>
      <c r="G245" s="3" t="s">
        <v>29</v>
      </c>
      <c r="H245" s="3" t="s">
        <v>30</v>
      </c>
      <c r="I245" s="3" t="s">
        <v>25</v>
      </c>
      <c r="J245" s="3" t="s">
        <v>30</v>
      </c>
      <c r="K245" s="3" t="s">
        <v>25</v>
      </c>
      <c r="L245" s="5">
        <v>510.0</v>
      </c>
      <c r="M245" s="5">
        <v>325.0</v>
      </c>
      <c r="N245" s="5">
        <v>310.0</v>
      </c>
      <c r="O245" s="5">
        <v>1145.0</v>
      </c>
      <c r="P245" s="6">
        <v>44670.0</v>
      </c>
      <c r="Q245" s="3" t="s">
        <v>31</v>
      </c>
      <c r="R245" s="3" t="s">
        <v>29</v>
      </c>
      <c r="S245" s="5">
        <v>1113169.0</v>
      </c>
      <c r="T245" s="3"/>
      <c r="U245" s="3"/>
      <c r="V245" s="3"/>
      <c r="W245" s="3"/>
      <c r="X245" s="3"/>
    </row>
    <row r="246">
      <c r="A246" s="3" t="s">
        <v>542</v>
      </c>
      <c r="B246" s="3" t="s">
        <v>543</v>
      </c>
      <c r="C246" s="3" t="s">
        <v>21</v>
      </c>
      <c r="D246" s="3" t="s">
        <v>22</v>
      </c>
      <c r="E246" s="3" t="s">
        <v>533</v>
      </c>
      <c r="F246" s="3" t="s">
        <v>28</v>
      </c>
      <c r="G246" s="3" t="s">
        <v>29</v>
      </c>
      <c r="H246" s="3" t="s">
        <v>30</v>
      </c>
      <c r="I246" s="3" t="s">
        <v>25</v>
      </c>
      <c r="J246" s="3" t="s">
        <v>30</v>
      </c>
      <c r="K246" s="3" t="s">
        <v>25</v>
      </c>
      <c r="L246" s="5">
        <v>508.0</v>
      </c>
      <c r="M246" s="5">
        <v>309.0</v>
      </c>
      <c r="N246" s="5">
        <v>320.0</v>
      </c>
      <c r="O246" s="5">
        <v>1137.0</v>
      </c>
      <c r="P246" s="6">
        <v>44667.0</v>
      </c>
      <c r="Q246" s="3" t="s">
        <v>31</v>
      </c>
      <c r="R246" s="3" t="s">
        <v>29</v>
      </c>
      <c r="S246" s="5">
        <v>927628.0</v>
      </c>
      <c r="T246" s="3"/>
      <c r="U246" s="3"/>
      <c r="V246" s="3"/>
      <c r="W246" s="3"/>
      <c r="X246" s="3"/>
    </row>
    <row r="247">
      <c r="A247" s="3" t="s">
        <v>544</v>
      </c>
      <c r="B247" s="3" t="s">
        <v>545</v>
      </c>
      <c r="C247" s="3" t="s">
        <v>21</v>
      </c>
      <c r="D247" s="3" t="s">
        <v>22</v>
      </c>
      <c r="E247" s="3" t="s">
        <v>533</v>
      </c>
      <c r="F247" s="3" t="s">
        <v>28</v>
      </c>
      <c r="G247" s="3" t="s">
        <v>29</v>
      </c>
      <c r="H247" s="3" t="s">
        <v>30</v>
      </c>
      <c r="I247" s="3" t="s">
        <v>25</v>
      </c>
      <c r="J247" s="3" t="s">
        <v>30</v>
      </c>
      <c r="K247" s="3" t="s">
        <v>25</v>
      </c>
      <c r="L247" s="5">
        <v>525.0</v>
      </c>
      <c r="M247" s="5">
        <v>305.0</v>
      </c>
      <c r="N247" s="5">
        <v>305.0</v>
      </c>
      <c r="O247" s="5">
        <v>1135.0</v>
      </c>
      <c r="P247" s="6">
        <v>44668.0</v>
      </c>
      <c r="Q247" s="3" t="s">
        <v>31</v>
      </c>
      <c r="R247" s="3" t="s">
        <v>29</v>
      </c>
      <c r="S247" s="5">
        <v>886982.0</v>
      </c>
      <c r="T247" s="3"/>
      <c r="U247" s="3"/>
      <c r="V247" s="3"/>
      <c r="W247" s="3"/>
      <c r="X247" s="3"/>
    </row>
    <row r="248">
      <c r="A248" s="3" t="s">
        <v>546</v>
      </c>
      <c r="B248" s="3" t="s">
        <v>547</v>
      </c>
      <c r="C248" s="3" t="s">
        <v>21</v>
      </c>
      <c r="D248" s="3" t="s">
        <v>22</v>
      </c>
      <c r="E248" s="3" t="s">
        <v>533</v>
      </c>
      <c r="F248" s="3" t="s">
        <v>28</v>
      </c>
      <c r="G248" s="3" t="s">
        <v>29</v>
      </c>
      <c r="H248" s="3" t="s">
        <v>30</v>
      </c>
      <c r="I248" s="3" t="s">
        <v>25</v>
      </c>
      <c r="J248" s="3" t="s">
        <v>30</v>
      </c>
      <c r="K248" s="3" t="s">
        <v>25</v>
      </c>
      <c r="L248" s="5">
        <v>505.0</v>
      </c>
      <c r="M248" s="5">
        <v>309.0</v>
      </c>
      <c r="N248" s="5">
        <v>305.0</v>
      </c>
      <c r="O248" s="5">
        <v>1119.0</v>
      </c>
      <c r="P248" s="6">
        <v>44670.0</v>
      </c>
      <c r="Q248" s="3" t="s">
        <v>31</v>
      </c>
      <c r="R248" s="3" t="s">
        <v>29</v>
      </c>
      <c r="S248" s="5">
        <v>720005.0</v>
      </c>
      <c r="T248" s="3"/>
      <c r="U248" s="3"/>
      <c r="V248" s="3"/>
      <c r="W248" s="3"/>
      <c r="X248" s="3"/>
    </row>
    <row r="249">
      <c r="A249" s="3" t="s">
        <v>548</v>
      </c>
      <c r="B249" s="3" t="s">
        <v>549</v>
      </c>
      <c r="C249" s="3" t="s">
        <v>21</v>
      </c>
      <c r="D249" s="3" t="s">
        <v>59</v>
      </c>
      <c r="E249" s="3" t="s">
        <v>533</v>
      </c>
      <c r="F249" s="3" t="s">
        <v>28</v>
      </c>
      <c r="G249" s="3" t="s">
        <v>29</v>
      </c>
      <c r="H249" s="3" t="s">
        <v>30</v>
      </c>
      <c r="I249" s="3" t="s">
        <v>25</v>
      </c>
      <c r="J249" s="3" t="s">
        <v>30</v>
      </c>
      <c r="K249" s="3" t="s">
        <v>25</v>
      </c>
      <c r="L249" s="5">
        <v>505.0</v>
      </c>
      <c r="M249" s="5">
        <v>310.0</v>
      </c>
      <c r="N249" s="5">
        <v>300.0</v>
      </c>
      <c r="O249" s="5">
        <v>1115.0</v>
      </c>
      <c r="P249" s="6">
        <v>44669.0</v>
      </c>
      <c r="Q249" s="3" t="s">
        <v>31</v>
      </c>
      <c r="R249" s="3" t="s">
        <v>29</v>
      </c>
      <c r="S249" s="5">
        <v>1120193.0</v>
      </c>
      <c r="T249" s="3"/>
      <c r="U249" s="3"/>
      <c r="V249" s="3"/>
      <c r="W249" s="3"/>
      <c r="X249" s="3"/>
    </row>
    <row r="250">
      <c r="A250" s="3" t="s">
        <v>550</v>
      </c>
      <c r="B250" s="3" t="s">
        <v>551</v>
      </c>
      <c r="C250" s="3" t="s">
        <v>21</v>
      </c>
      <c r="D250" s="3" t="s">
        <v>22</v>
      </c>
      <c r="E250" s="3" t="s">
        <v>533</v>
      </c>
      <c r="F250" s="3" t="s">
        <v>28</v>
      </c>
      <c r="G250" s="3" t="s">
        <v>29</v>
      </c>
      <c r="H250" s="3" t="s">
        <v>30</v>
      </c>
      <c r="I250" s="3" t="s">
        <v>25</v>
      </c>
      <c r="J250" s="3" t="s">
        <v>30</v>
      </c>
      <c r="K250" s="3" t="s">
        <v>25</v>
      </c>
      <c r="L250" s="5">
        <v>515.0</v>
      </c>
      <c r="M250" s="5">
        <v>300.0</v>
      </c>
      <c r="N250" s="5">
        <v>300.0</v>
      </c>
      <c r="O250" s="5">
        <v>1115.0</v>
      </c>
      <c r="P250" s="6">
        <v>44667.0</v>
      </c>
      <c r="Q250" s="3" t="s">
        <v>31</v>
      </c>
      <c r="R250" s="3" t="s">
        <v>29</v>
      </c>
      <c r="S250" s="5">
        <v>316709.0</v>
      </c>
      <c r="T250" s="3"/>
      <c r="U250" s="3"/>
      <c r="V250" s="3"/>
      <c r="W250" s="3"/>
      <c r="X250" s="3"/>
    </row>
    <row r="251">
      <c r="A251" s="3" t="s">
        <v>552</v>
      </c>
      <c r="B251" s="3" t="s">
        <v>553</v>
      </c>
      <c r="C251" s="3" t="s">
        <v>21</v>
      </c>
      <c r="D251" s="3" t="s">
        <v>59</v>
      </c>
      <c r="E251" s="3" t="s">
        <v>533</v>
      </c>
      <c r="F251" s="3" t="s">
        <v>31</v>
      </c>
      <c r="G251" s="3" t="s">
        <v>29</v>
      </c>
      <c r="H251" s="3" t="s">
        <v>30</v>
      </c>
      <c r="I251" s="3" t="s">
        <v>25</v>
      </c>
      <c r="J251" s="3" t="s">
        <v>30</v>
      </c>
      <c r="K251" s="3" t="s">
        <v>25</v>
      </c>
      <c r="L251" s="5">
        <v>473.0</v>
      </c>
      <c r="M251" s="5">
        <v>321.0</v>
      </c>
      <c r="N251" s="5">
        <v>310.0</v>
      </c>
      <c r="O251" s="5">
        <v>1104.0</v>
      </c>
      <c r="P251" s="6">
        <v>44873.0</v>
      </c>
      <c r="Q251" s="3" t="s">
        <v>31</v>
      </c>
      <c r="R251" s="3" t="s">
        <v>29</v>
      </c>
      <c r="S251" s="5">
        <v>1185348.0</v>
      </c>
      <c r="T251" s="3"/>
      <c r="U251" s="3"/>
      <c r="V251" s="3"/>
      <c r="W251" s="3"/>
      <c r="X251" s="3"/>
    </row>
    <row r="252">
      <c r="A252" s="3" t="s">
        <v>554</v>
      </c>
      <c r="B252" s="3" t="s">
        <v>555</v>
      </c>
      <c r="C252" s="3" t="s">
        <v>21</v>
      </c>
      <c r="D252" s="3" t="s">
        <v>22</v>
      </c>
      <c r="E252" s="3" t="s">
        <v>533</v>
      </c>
      <c r="F252" s="3" t="s">
        <v>28</v>
      </c>
      <c r="G252" s="3" t="s">
        <v>29</v>
      </c>
      <c r="H252" s="3" t="s">
        <v>30</v>
      </c>
      <c r="I252" s="3" t="s">
        <v>25</v>
      </c>
      <c r="J252" s="3" t="s">
        <v>30</v>
      </c>
      <c r="K252" s="3" t="s">
        <v>25</v>
      </c>
      <c r="L252" s="5">
        <v>500.0</v>
      </c>
      <c r="M252" s="5">
        <v>300.0</v>
      </c>
      <c r="N252" s="5">
        <v>300.0</v>
      </c>
      <c r="O252" s="5">
        <v>1100.0</v>
      </c>
      <c r="P252" s="6">
        <v>44667.0</v>
      </c>
      <c r="Q252" s="3" t="s">
        <v>31</v>
      </c>
      <c r="R252" s="3" t="s">
        <v>29</v>
      </c>
      <c r="S252" s="5">
        <v>1390777.0</v>
      </c>
      <c r="T252" s="3"/>
      <c r="U252" s="3"/>
      <c r="V252" s="3"/>
      <c r="W252" s="3"/>
      <c r="X252" s="3"/>
    </row>
    <row r="253">
      <c r="A253" s="3" t="s">
        <v>556</v>
      </c>
      <c r="B253" s="3" t="s">
        <v>557</v>
      </c>
      <c r="C253" s="3" t="s">
        <v>21</v>
      </c>
      <c r="D253" s="3" t="s">
        <v>22</v>
      </c>
      <c r="E253" s="3" t="s">
        <v>533</v>
      </c>
      <c r="F253" s="3" t="s">
        <v>31</v>
      </c>
      <c r="G253" s="3" t="s">
        <v>29</v>
      </c>
      <c r="H253" s="3" t="s">
        <v>30</v>
      </c>
      <c r="I253" s="3" t="s">
        <v>25</v>
      </c>
      <c r="J253" s="3" t="s">
        <v>30</v>
      </c>
      <c r="K253" s="3" t="s">
        <v>25</v>
      </c>
      <c r="L253" s="5">
        <v>435.0</v>
      </c>
      <c r="M253" s="5">
        <v>341.0</v>
      </c>
      <c r="N253" s="5">
        <v>310.0</v>
      </c>
      <c r="O253" s="5">
        <v>1086.0</v>
      </c>
      <c r="P253" s="6">
        <v>44723.0</v>
      </c>
      <c r="Q253" s="3" t="s">
        <v>31</v>
      </c>
      <c r="R253" s="3" t="s">
        <v>29</v>
      </c>
      <c r="S253" s="5">
        <v>64040.0</v>
      </c>
      <c r="T253" s="3"/>
      <c r="U253" s="3"/>
      <c r="V253" s="3"/>
      <c r="W253" s="3"/>
      <c r="X253" s="3"/>
    </row>
    <row r="254">
      <c r="A254" s="3" t="s">
        <v>558</v>
      </c>
      <c r="B254" s="3" t="s">
        <v>559</v>
      </c>
      <c r="C254" s="3" t="s">
        <v>21</v>
      </c>
      <c r="D254" s="3" t="s">
        <v>22</v>
      </c>
      <c r="E254" s="3" t="s">
        <v>533</v>
      </c>
      <c r="F254" s="3" t="s">
        <v>28</v>
      </c>
      <c r="G254" s="3" t="s">
        <v>29</v>
      </c>
      <c r="H254" s="3" t="s">
        <v>30</v>
      </c>
      <c r="I254" s="3" t="s">
        <v>25</v>
      </c>
      <c r="J254" s="3" t="s">
        <v>24</v>
      </c>
      <c r="K254" s="3" t="s">
        <v>25</v>
      </c>
      <c r="L254" s="5">
        <v>515.0</v>
      </c>
      <c r="M254" s="5">
        <v>308.0</v>
      </c>
      <c r="N254" s="5">
        <v>235.0</v>
      </c>
      <c r="O254" s="5">
        <v>1058.0</v>
      </c>
      <c r="P254" s="6">
        <v>44669.0</v>
      </c>
      <c r="Q254" s="3" t="s">
        <v>31</v>
      </c>
      <c r="R254" s="3" t="s">
        <v>29</v>
      </c>
      <c r="S254" s="5">
        <v>1059556.0</v>
      </c>
      <c r="T254" s="3"/>
      <c r="U254" s="3"/>
      <c r="V254" s="3"/>
      <c r="W254" s="3"/>
      <c r="X254" s="3"/>
    </row>
    <row r="255">
      <c r="A255" s="3" t="s">
        <v>560</v>
      </c>
      <c r="B255" s="3" t="s">
        <v>561</v>
      </c>
      <c r="C255" s="3" t="s">
        <v>21</v>
      </c>
      <c r="D255" s="3" t="s">
        <v>22</v>
      </c>
      <c r="E255" s="3" t="s">
        <v>533</v>
      </c>
      <c r="F255" s="3" t="s">
        <v>30</v>
      </c>
      <c r="G255" s="3" t="s">
        <v>25</v>
      </c>
      <c r="H255" s="3" t="s">
        <v>30</v>
      </c>
      <c r="I255" s="3" t="s">
        <v>25</v>
      </c>
      <c r="J255" s="3" t="s">
        <v>30</v>
      </c>
      <c r="K255" s="3" t="s">
        <v>25</v>
      </c>
      <c r="L255" s="5">
        <v>321.0</v>
      </c>
      <c r="M255" s="5">
        <v>349.0</v>
      </c>
      <c r="N255" s="5">
        <v>310.0</v>
      </c>
      <c r="O255" s="5">
        <v>980.0</v>
      </c>
      <c r="P255" s="6">
        <v>44668.0</v>
      </c>
      <c r="Q255" s="3" t="s">
        <v>31</v>
      </c>
      <c r="R255" s="3" t="s">
        <v>29</v>
      </c>
      <c r="S255" s="5">
        <v>38777.0</v>
      </c>
      <c r="T255" s="3"/>
      <c r="U255" s="3"/>
      <c r="V255" s="3"/>
      <c r="W255" s="3"/>
      <c r="X255" s="3"/>
    </row>
    <row r="256">
      <c r="A256" s="3" t="s">
        <v>562</v>
      </c>
      <c r="B256" s="3" t="s">
        <v>563</v>
      </c>
      <c r="C256" s="3" t="s">
        <v>21</v>
      </c>
      <c r="D256" s="3" t="s">
        <v>22</v>
      </c>
      <c r="E256" s="3" t="s">
        <v>533</v>
      </c>
      <c r="F256" s="3" t="s">
        <v>30</v>
      </c>
      <c r="G256" s="3" t="s">
        <v>25</v>
      </c>
      <c r="H256" s="3" t="s">
        <v>30</v>
      </c>
      <c r="I256" s="3" t="s">
        <v>25</v>
      </c>
      <c r="J256" s="3" t="s">
        <v>24</v>
      </c>
      <c r="K256" s="3" t="s">
        <v>25</v>
      </c>
      <c r="L256" s="5">
        <v>396.0</v>
      </c>
      <c r="M256" s="5">
        <v>308.0</v>
      </c>
      <c r="N256" s="5">
        <v>267.0</v>
      </c>
      <c r="O256" s="5">
        <v>971.0</v>
      </c>
      <c r="P256" s="6">
        <v>44667.0</v>
      </c>
      <c r="Q256" s="3" t="s">
        <v>31</v>
      </c>
      <c r="R256" s="3" t="s">
        <v>29</v>
      </c>
      <c r="S256" s="5">
        <v>820027.0</v>
      </c>
      <c r="T256" s="3"/>
      <c r="U256" s="3"/>
      <c r="V256" s="3"/>
      <c r="W256" s="3"/>
      <c r="X256" s="3"/>
    </row>
    <row r="257">
      <c r="A257" s="3" t="s">
        <v>564</v>
      </c>
      <c r="B257" s="3" t="s">
        <v>565</v>
      </c>
      <c r="C257" s="3" t="s">
        <v>21</v>
      </c>
      <c r="D257" s="3" t="s">
        <v>22</v>
      </c>
      <c r="E257" s="3" t="s">
        <v>533</v>
      </c>
      <c r="F257" s="3" t="s">
        <v>30</v>
      </c>
      <c r="G257" s="3" t="s">
        <v>25</v>
      </c>
      <c r="H257" s="3" t="s">
        <v>30</v>
      </c>
      <c r="I257" s="3" t="s">
        <v>25</v>
      </c>
      <c r="J257" s="3" t="s">
        <v>30</v>
      </c>
      <c r="K257" s="3" t="s">
        <v>25</v>
      </c>
      <c r="L257" s="5">
        <v>335.0</v>
      </c>
      <c r="M257" s="5">
        <v>321.0</v>
      </c>
      <c r="N257" s="5">
        <v>313.0</v>
      </c>
      <c r="O257" s="5">
        <v>969.0</v>
      </c>
      <c r="P257" s="6">
        <v>44668.0</v>
      </c>
      <c r="Q257" s="3" t="s">
        <v>31</v>
      </c>
      <c r="R257" s="3" t="s">
        <v>29</v>
      </c>
      <c r="S257" s="5">
        <v>1393612.0</v>
      </c>
      <c r="T257" s="3"/>
      <c r="U257" s="3"/>
      <c r="V257" s="3"/>
      <c r="W257" s="3"/>
      <c r="X257" s="3"/>
    </row>
    <row r="258">
      <c r="A258" s="3" t="s">
        <v>566</v>
      </c>
      <c r="B258" s="3" t="s">
        <v>567</v>
      </c>
      <c r="C258" s="3" t="s">
        <v>21</v>
      </c>
      <c r="D258" s="3" t="s">
        <v>22</v>
      </c>
      <c r="E258" s="3" t="s">
        <v>533</v>
      </c>
      <c r="F258" s="3" t="s">
        <v>30</v>
      </c>
      <c r="G258" s="3" t="s">
        <v>25</v>
      </c>
      <c r="H258" s="3" t="s">
        <v>30</v>
      </c>
      <c r="I258" s="3" t="s">
        <v>25</v>
      </c>
      <c r="J258" s="3" t="s">
        <v>30</v>
      </c>
      <c r="K258" s="3" t="s">
        <v>25</v>
      </c>
      <c r="L258" s="5">
        <v>325.0</v>
      </c>
      <c r="M258" s="5">
        <v>312.0</v>
      </c>
      <c r="N258" s="5">
        <v>310.0</v>
      </c>
      <c r="O258" s="5">
        <v>947.0</v>
      </c>
      <c r="P258" s="6">
        <v>44670.0</v>
      </c>
      <c r="Q258" s="3" t="s">
        <v>31</v>
      </c>
      <c r="R258" s="3" t="s">
        <v>29</v>
      </c>
      <c r="S258" s="5">
        <v>1601712.0</v>
      </c>
      <c r="T258" s="3"/>
      <c r="U258" s="3"/>
      <c r="V258" s="3"/>
      <c r="W258" s="3"/>
      <c r="X258" s="3"/>
    </row>
    <row r="259">
      <c r="A259" s="3" t="s">
        <v>568</v>
      </c>
      <c r="B259" s="3" t="s">
        <v>569</v>
      </c>
      <c r="C259" s="3" t="s">
        <v>21</v>
      </c>
      <c r="D259" s="3" t="s">
        <v>59</v>
      </c>
      <c r="E259" s="3" t="s">
        <v>533</v>
      </c>
      <c r="F259" s="3" t="s">
        <v>24</v>
      </c>
      <c r="G259" s="3" t="s">
        <v>25</v>
      </c>
      <c r="H259" s="3" t="s">
        <v>30</v>
      </c>
      <c r="I259" s="3" t="s">
        <v>25</v>
      </c>
      <c r="J259" s="3" t="s">
        <v>24</v>
      </c>
      <c r="K259" s="3" t="s">
        <v>25</v>
      </c>
      <c r="L259" s="5">
        <v>260.0</v>
      </c>
      <c r="M259" s="5">
        <v>350.0</v>
      </c>
      <c r="N259" s="5">
        <v>267.0</v>
      </c>
      <c r="O259" s="5">
        <v>877.0</v>
      </c>
      <c r="P259" s="6">
        <v>44723.0</v>
      </c>
      <c r="Q259" s="3" t="s">
        <v>30</v>
      </c>
      <c r="R259" s="3" t="s">
        <v>25</v>
      </c>
      <c r="S259" s="5">
        <v>1849867.0</v>
      </c>
      <c r="T259" s="3"/>
      <c r="U259" s="3"/>
      <c r="V259" s="3"/>
      <c r="W259" s="3"/>
      <c r="X259" s="3"/>
    </row>
    <row r="260">
      <c r="A260" s="3" t="s">
        <v>570</v>
      </c>
      <c r="B260" s="3" t="s">
        <v>571</v>
      </c>
      <c r="C260" s="3" t="s">
        <v>21</v>
      </c>
      <c r="D260" s="3" t="s">
        <v>59</v>
      </c>
      <c r="E260" s="3" t="s">
        <v>533</v>
      </c>
      <c r="F260" s="3" t="s">
        <v>30</v>
      </c>
      <c r="G260" s="3" t="s">
        <v>25</v>
      </c>
      <c r="H260" s="3" t="s">
        <v>24</v>
      </c>
      <c r="I260" s="3" t="s">
        <v>25</v>
      </c>
      <c r="J260" s="3" t="s">
        <v>24</v>
      </c>
      <c r="K260" s="3" t="s">
        <v>25</v>
      </c>
      <c r="L260" s="5">
        <v>300.0</v>
      </c>
      <c r="M260" s="5">
        <v>299.0</v>
      </c>
      <c r="N260" s="5">
        <v>235.0</v>
      </c>
      <c r="O260" s="5">
        <v>834.0</v>
      </c>
      <c r="P260" s="6">
        <v>44670.0</v>
      </c>
      <c r="Q260" s="3" t="s">
        <v>30</v>
      </c>
      <c r="R260" s="3" t="s">
        <v>25</v>
      </c>
      <c r="S260" s="5">
        <v>65596.0</v>
      </c>
      <c r="T260" s="3"/>
      <c r="U260" s="3"/>
      <c r="V260" s="3"/>
      <c r="W260" s="3"/>
      <c r="X260" s="3"/>
    </row>
    <row r="261">
      <c r="A261" s="3" t="s">
        <v>572</v>
      </c>
      <c r="B261" s="3" t="s">
        <v>573</v>
      </c>
      <c r="C261" s="3" t="s">
        <v>21</v>
      </c>
      <c r="D261" s="3" t="s">
        <v>59</v>
      </c>
      <c r="E261" s="3" t="s">
        <v>533</v>
      </c>
      <c r="F261" s="3" t="s">
        <v>30</v>
      </c>
      <c r="G261" s="3" t="s">
        <v>25</v>
      </c>
      <c r="H261" s="3" t="s">
        <v>24</v>
      </c>
      <c r="I261" s="3" t="s">
        <v>25</v>
      </c>
      <c r="J261" s="3" t="s">
        <v>24</v>
      </c>
      <c r="K261" s="3" t="s">
        <v>25</v>
      </c>
      <c r="L261" s="5">
        <v>375.0</v>
      </c>
      <c r="M261" s="5">
        <v>237.0</v>
      </c>
      <c r="N261" s="5">
        <v>200.0</v>
      </c>
      <c r="O261" s="5">
        <v>812.0</v>
      </c>
      <c r="P261" s="6">
        <v>44768.0</v>
      </c>
      <c r="Q261" s="3" t="s">
        <v>30</v>
      </c>
      <c r="R261" s="3" t="s">
        <v>25</v>
      </c>
      <c r="S261" s="5">
        <v>1156375.0</v>
      </c>
      <c r="T261" s="3"/>
      <c r="U261" s="3"/>
      <c r="V261" s="3"/>
      <c r="W261" s="3"/>
      <c r="X261" s="3"/>
    </row>
    <row r="262">
      <c r="A262" s="3" t="s">
        <v>574</v>
      </c>
      <c r="B262" s="3" t="s">
        <v>575</v>
      </c>
      <c r="C262" s="3" t="s">
        <v>21</v>
      </c>
      <c r="D262" s="3" t="s">
        <v>59</v>
      </c>
      <c r="E262" s="3" t="s">
        <v>533</v>
      </c>
      <c r="F262" s="3" t="s">
        <v>24</v>
      </c>
      <c r="G262" s="3" t="s">
        <v>25</v>
      </c>
      <c r="H262" s="3" t="s">
        <v>24</v>
      </c>
      <c r="I262" s="3" t="s">
        <v>25</v>
      </c>
      <c r="J262" s="3" t="s">
        <v>24</v>
      </c>
      <c r="K262" s="3" t="s">
        <v>25</v>
      </c>
      <c r="L262" s="5">
        <v>250.0</v>
      </c>
      <c r="M262" s="5">
        <v>226.0</v>
      </c>
      <c r="N262" s="5">
        <v>225.0</v>
      </c>
      <c r="O262" s="5">
        <v>701.0</v>
      </c>
      <c r="P262" s="6">
        <v>44669.0</v>
      </c>
      <c r="Q262" s="3" t="s">
        <v>24</v>
      </c>
      <c r="R262" s="3" t="s">
        <v>25</v>
      </c>
      <c r="S262" s="5">
        <v>73124.0</v>
      </c>
      <c r="T262" s="3"/>
      <c r="U262" s="3"/>
      <c r="V262" s="3"/>
      <c r="W262" s="3"/>
      <c r="X262" s="3"/>
    </row>
    <row r="263">
      <c r="A263" s="3" t="s">
        <v>576</v>
      </c>
      <c r="B263" s="3" t="s">
        <v>577</v>
      </c>
      <c r="C263" s="3" t="s">
        <v>21</v>
      </c>
      <c r="D263" s="3" t="s">
        <v>59</v>
      </c>
      <c r="E263" s="3" t="s">
        <v>533</v>
      </c>
      <c r="F263" s="3" t="s">
        <v>24</v>
      </c>
      <c r="G263" s="3" t="s">
        <v>25</v>
      </c>
      <c r="H263" s="3" t="s">
        <v>24</v>
      </c>
      <c r="I263" s="3" t="s">
        <v>25</v>
      </c>
      <c r="J263" s="3" t="s">
        <v>24</v>
      </c>
      <c r="K263" s="3" t="s">
        <v>25</v>
      </c>
      <c r="L263" s="5">
        <v>200.0</v>
      </c>
      <c r="M263" s="5">
        <v>200.0</v>
      </c>
      <c r="N263" s="5">
        <v>275.0</v>
      </c>
      <c r="O263" s="5">
        <v>675.0</v>
      </c>
      <c r="P263" s="6">
        <v>44667.0</v>
      </c>
      <c r="Q263" s="3" t="s">
        <v>24</v>
      </c>
      <c r="R263" s="3" t="s">
        <v>25</v>
      </c>
      <c r="S263" s="5">
        <v>934549.0</v>
      </c>
      <c r="T263" s="3"/>
      <c r="U263" s="3"/>
      <c r="V263" s="3"/>
      <c r="W263" s="3"/>
      <c r="X263" s="3"/>
    </row>
    <row r="264">
      <c r="A264" s="3" t="s">
        <v>578</v>
      </c>
      <c r="B264" s="3" t="s">
        <v>579</v>
      </c>
      <c r="C264" s="3" t="s">
        <v>21</v>
      </c>
      <c r="D264" s="3" t="s">
        <v>22</v>
      </c>
      <c r="E264" s="3" t="s">
        <v>533</v>
      </c>
      <c r="F264" s="3" t="s">
        <v>24</v>
      </c>
      <c r="G264" s="3" t="s">
        <v>25</v>
      </c>
      <c r="H264" s="3" t="s">
        <v>24</v>
      </c>
      <c r="I264" s="3" t="s">
        <v>25</v>
      </c>
      <c r="J264" s="3" t="s">
        <v>24</v>
      </c>
      <c r="K264" s="3" t="s">
        <v>25</v>
      </c>
      <c r="L264" s="5">
        <v>230.0</v>
      </c>
      <c r="M264" s="5">
        <v>226.0</v>
      </c>
      <c r="N264" s="5">
        <v>208.0</v>
      </c>
      <c r="O264" s="5">
        <v>664.0</v>
      </c>
      <c r="P264" s="6">
        <v>44667.0</v>
      </c>
      <c r="Q264" s="3" t="s">
        <v>24</v>
      </c>
      <c r="R264" s="3" t="s">
        <v>25</v>
      </c>
      <c r="S264" s="5">
        <v>4962.0</v>
      </c>
      <c r="T264" s="3"/>
      <c r="U264" s="3"/>
      <c r="V264" s="3"/>
      <c r="W264" s="3"/>
      <c r="X264" s="3"/>
    </row>
    <row r="265">
      <c r="A265" s="3" t="s">
        <v>580</v>
      </c>
      <c r="B265" s="3" t="s">
        <v>581</v>
      </c>
      <c r="C265" s="3" t="s">
        <v>21</v>
      </c>
      <c r="D265" s="3" t="s">
        <v>59</v>
      </c>
      <c r="E265" s="3" t="s">
        <v>533</v>
      </c>
      <c r="F265" s="3" t="s">
        <v>24</v>
      </c>
      <c r="G265" s="3" t="s">
        <v>25</v>
      </c>
      <c r="H265" s="3" t="s">
        <v>24</v>
      </c>
      <c r="I265" s="3" t="s">
        <v>25</v>
      </c>
      <c r="J265" s="3" t="s">
        <v>24</v>
      </c>
      <c r="K265" s="3" t="s">
        <v>25</v>
      </c>
      <c r="L265" s="5">
        <v>230.0</v>
      </c>
      <c r="M265" s="5">
        <v>213.0</v>
      </c>
      <c r="N265" s="5">
        <v>210.0</v>
      </c>
      <c r="O265" s="5">
        <v>653.0</v>
      </c>
      <c r="P265" s="6">
        <v>44669.0</v>
      </c>
      <c r="Q265" s="3" t="s">
        <v>24</v>
      </c>
      <c r="R265" s="3" t="s">
        <v>25</v>
      </c>
      <c r="S265" s="5">
        <v>1278021.0</v>
      </c>
      <c r="T265" s="3"/>
      <c r="U265" s="3"/>
      <c r="V265" s="3"/>
      <c r="W265" s="3"/>
      <c r="X265" s="3"/>
    </row>
    <row r="266">
      <c r="A266" s="3" t="s">
        <v>582</v>
      </c>
      <c r="B266" s="3" t="s">
        <v>583</v>
      </c>
      <c r="C266" s="3" t="s">
        <v>21</v>
      </c>
      <c r="D266" s="3" t="s">
        <v>22</v>
      </c>
      <c r="E266" s="3" t="s">
        <v>533</v>
      </c>
      <c r="F266" s="3" t="s">
        <v>24</v>
      </c>
      <c r="G266" s="3" t="s">
        <v>25</v>
      </c>
      <c r="H266" s="3" t="s">
        <v>24</v>
      </c>
      <c r="I266" s="3" t="s">
        <v>25</v>
      </c>
      <c r="J266" s="3" t="s">
        <v>24</v>
      </c>
      <c r="K266" s="3" t="s">
        <v>25</v>
      </c>
      <c r="L266" s="5">
        <v>225.0</v>
      </c>
      <c r="M266" s="5">
        <v>211.0</v>
      </c>
      <c r="N266" s="5">
        <v>210.0</v>
      </c>
      <c r="O266" s="5">
        <v>646.0</v>
      </c>
      <c r="P266" s="6">
        <v>44670.0</v>
      </c>
      <c r="Q266" s="3" t="s">
        <v>24</v>
      </c>
      <c r="R266" s="3" t="s">
        <v>25</v>
      </c>
      <c r="S266" s="5">
        <v>93751.0</v>
      </c>
      <c r="T266" s="3"/>
      <c r="U266" s="3"/>
      <c r="V266" s="3"/>
      <c r="W266" s="3"/>
      <c r="X266" s="3"/>
    </row>
    <row r="267">
      <c r="A267" s="3" t="s">
        <v>584</v>
      </c>
      <c r="B267" s="3" t="s">
        <v>585</v>
      </c>
      <c r="C267" s="3" t="s">
        <v>21</v>
      </c>
      <c r="D267" s="3" t="s">
        <v>59</v>
      </c>
      <c r="E267" s="3" t="s">
        <v>533</v>
      </c>
      <c r="F267" s="3" t="s">
        <v>24</v>
      </c>
      <c r="G267" s="3" t="s">
        <v>25</v>
      </c>
      <c r="H267" s="3" t="s">
        <v>24</v>
      </c>
      <c r="I267" s="3" t="s">
        <v>25</v>
      </c>
      <c r="J267" s="3" t="s">
        <v>24</v>
      </c>
      <c r="K267" s="3" t="s">
        <v>25</v>
      </c>
      <c r="L267" s="5">
        <v>230.0</v>
      </c>
      <c r="M267" s="5">
        <v>202.0</v>
      </c>
      <c r="N267" s="5">
        <v>200.0</v>
      </c>
      <c r="O267" s="5">
        <v>632.0</v>
      </c>
      <c r="P267" s="6">
        <v>44668.0</v>
      </c>
      <c r="Q267" s="3" t="s">
        <v>24</v>
      </c>
      <c r="R267" s="3" t="s">
        <v>25</v>
      </c>
      <c r="S267" s="5">
        <v>1436425.0</v>
      </c>
      <c r="T267" s="3"/>
      <c r="U267" s="3"/>
      <c r="V267" s="3"/>
      <c r="W267" s="3"/>
      <c r="X267" s="3"/>
    </row>
    <row r="268">
      <c r="A268" s="3" t="s">
        <v>586</v>
      </c>
      <c r="B268" s="3" t="s">
        <v>587</v>
      </c>
      <c r="C268" s="3" t="s">
        <v>21</v>
      </c>
      <c r="D268" s="3" t="s">
        <v>59</v>
      </c>
      <c r="E268" s="3" t="s">
        <v>533</v>
      </c>
      <c r="F268" s="3" t="s">
        <v>24</v>
      </c>
      <c r="G268" s="3" t="s">
        <v>25</v>
      </c>
      <c r="H268" s="3" t="s">
        <v>24</v>
      </c>
      <c r="I268" s="3" t="s">
        <v>25</v>
      </c>
      <c r="J268" s="3" t="s">
        <v>24</v>
      </c>
      <c r="K268" s="3" t="s">
        <v>25</v>
      </c>
      <c r="L268" s="5">
        <v>220.0</v>
      </c>
      <c r="M268" s="5">
        <v>203.0</v>
      </c>
      <c r="N268" s="5">
        <v>200.0</v>
      </c>
      <c r="O268" s="5">
        <v>623.0</v>
      </c>
      <c r="P268" s="6">
        <v>44722.0</v>
      </c>
      <c r="Q268" s="3" t="s">
        <v>24</v>
      </c>
      <c r="R268" s="3" t="s">
        <v>25</v>
      </c>
      <c r="S268" s="5">
        <v>1711012.0</v>
      </c>
      <c r="T268" s="3"/>
      <c r="U268" s="3"/>
      <c r="V268" s="3"/>
      <c r="W268" s="3"/>
      <c r="X268" s="3"/>
    </row>
    <row r="269">
      <c r="A269" s="3" t="s">
        <v>588</v>
      </c>
      <c r="B269" s="3" t="s">
        <v>589</v>
      </c>
      <c r="C269" s="3" t="s">
        <v>21</v>
      </c>
      <c r="D269" s="3" t="s">
        <v>22</v>
      </c>
      <c r="E269" s="3" t="s">
        <v>533</v>
      </c>
      <c r="F269" s="3" t="s">
        <v>24</v>
      </c>
      <c r="G269" s="3" t="s">
        <v>25</v>
      </c>
      <c r="H269" s="3" t="s">
        <v>24</v>
      </c>
      <c r="I269" s="3" t="s">
        <v>25</v>
      </c>
      <c r="J269" s="3" t="s">
        <v>24</v>
      </c>
      <c r="K269" s="3" t="s">
        <v>25</v>
      </c>
      <c r="L269" s="5">
        <v>215.0</v>
      </c>
      <c r="M269" s="5">
        <v>203.0</v>
      </c>
      <c r="N269" s="5">
        <v>203.0</v>
      </c>
      <c r="O269" s="5">
        <v>621.0</v>
      </c>
      <c r="P269" s="6">
        <v>44722.0</v>
      </c>
      <c r="Q269" s="3" t="s">
        <v>24</v>
      </c>
      <c r="R269" s="3" t="s">
        <v>25</v>
      </c>
      <c r="S269" s="5">
        <v>1704720.0</v>
      </c>
      <c r="T269" s="3"/>
      <c r="U269" s="3"/>
      <c r="V269" s="3"/>
      <c r="W269" s="3"/>
      <c r="X269" s="3"/>
    </row>
    <row r="270">
      <c r="A270" s="3" t="s">
        <v>590</v>
      </c>
      <c r="B270" s="3" t="s">
        <v>591</v>
      </c>
      <c r="C270" s="3" t="s">
        <v>84</v>
      </c>
      <c r="D270" s="3" t="s">
        <v>22</v>
      </c>
      <c r="E270" s="3" t="s">
        <v>533</v>
      </c>
      <c r="F270" s="3" t="s">
        <v>24</v>
      </c>
      <c r="G270" s="3" t="s">
        <v>25</v>
      </c>
      <c r="H270" s="3" t="s">
        <v>24</v>
      </c>
      <c r="I270" s="3" t="s">
        <v>25</v>
      </c>
      <c r="J270" s="3" t="s">
        <v>24</v>
      </c>
      <c r="K270" s="3" t="s">
        <v>25</v>
      </c>
      <c r="L270" s="5">
        <v>215.0</v>
      </c>
      <c r="M270" s="5">
        <v>205.0</v>
      </c>
      <c r="N270" s="5">
        <v>200.0</v>
      </c>
      <c r="O270" s="5">
        <v>620.0</v>
      </c>
      <c r="P270" s="6">
        <v>44723.0</v>
      </c>
      <c r="Q270" s="3" t="s">
        <v>24</v>
      </c>
      <c r="R270" s="3" t="s">
        <v>25</v>
      </c>
      <c r="S270" s="5">
        <v>1725033.0</v>
      </c>
      <c r="T270" s="3"/>
      <c r="U270" s="3"/>
      <c r="V270" s="3"/>
      <c r="W270" s="3"/>
      <c r="X270" s="3"/>
    </row>
    <row r="271">
      <c r="A271" s="3" t="s">
        <v>592</v>
      </c>
      <c r="B271" s="3" t="s">
        <v>593</v>
      </c>
      <c r="C271" s="3" t="s">
        <v>84</v>
      </c>
      <c r="D271" s="3" t="s">
        <v>22</v>
      </c>
      <c r="E271" s="3" t="s">
        <v>533</v>
      </c>
      <c r="F271" s="3" t="s">
        <v>24</v>
      </c>
      <c r="G271" s="3" t="s">
        <v>25</v>
      </c>
      <c r="H271" s="3" t="s">
        <v>24</v>
      </c>
      <c r="I271" s="3" t="s">
        <v>25</v>
      </c>
      <c r="J271" s="3" t="s">
        <v>24</v>
      </c>
      <c r="K271" s="3" t="s">
        <v>25</v>
      </c>
      <c r="L271" s="5">
        <v>200.0</v>
      </c>
      <c r="M271" s="5">
        <v>200.0</v>
      </c>
      <c r="N271" s="5">
        <v>220.0</v>
      </c>
      <c r="O271" s="5">
        <v>620.0</v>
      </c>
      <c r="P271" s="6">
        <v>44722.0</v>
      </c>
      <c r="Q271" s="3" t="s">
        <v>24</v>
      </c>
      <c r="R271" s="3" t="s">
        <v>25</v>
      </c>
      <c r="S271" s="5">
        <v>1733868.0</v>
      </c>
      <c r="T271" s="3"/>
      <c r="U271" s="3"/>
      <c r="V271" s="3"/>
      <c r="W271" s="3"/>
      <c r="X271" s="3"/>
    </row>
    <row r="272">
      <c r="A272" s="3" t="s">
        <v>594</v>
      </c>
      <c r="B272" s="3" t="s">
        <v>595</v>
      </c>
      <c r="C272" s="3" t="s">
        <v>21</v>
      </c>
      <c r="D272" s="3" t="s">
        <v>59</v>
      </c>
      <c r="E272" s="3" t="s">
        <v>533</v>
      </c>
      <c r="F272" s="3" t="s">
        <v>24</v>
      </c>
      <c r="G272" s="3" t="s">
        <v>25</v>
      </c>
      <c r="H272" s="3" t="s">
        <v>24</v>
      </c>
      <c r="I272" s="3" t="s">
        <v>25</v>
      </c>
      <c r="J272" s="3" t="s">
        <v>24</v>
      </c>
      <c r="K272" s="3" t="s">
        <v>25</v>
      </c>
      <c r="L272" s="5">
        <v>205.0</v>
      </c>
      <c r="M272" s="5">
        <v>204.0</v>
      </c>
      <c r="N272" s="5">
        <v>210.0</v>
      </c>
      <c r="O272" s="5">
        <v>619.0</v>
      </c>
      <c r="P272" s="6">
        <v>44722.0</v>
      </c>
      <c r="Q272" s="3" t="s">
        <v>24</v>
      </c>
      <c r="R272" s="3" t="s">
        <v>25</v>
      </c>
      <c r="S272" s="5">
        <v>1705402.0</v>
      </c>
      <c r="T272" s="3"/>
      <c r="U272" s="3"/>
      <c r="V272" s="3"/>
      <c r="W272" s="3"/>
      <c r="X272" s="3"/>
    </row>
    <row r="273">
      <c r="A273" s="3" t="s">
        <v>596</v>
      </c>
      <c r="B273" s="3" t="s">
        <v>597</v>
      </c>
      <c r="C273" s="3" t="s">
        <v>84</v>
      </c>
      <c r="D273" s="3" t="s">
        <v>22</v>
      </c>
      <c r="E273" s="3" t="s">
        <v>533</v>
      </c>
      <c r="F273" s="3" t="s">
        <v>24</v>
      </c>
      <c r="G273" s="3" t="s">
        <v>25</v>
      </c>
      <c r="H273" s="3" t="s">
        <v>24</v>
      </c>
      <c r="I273" s="3" t="s">
        <v>25</v>
      </c>
      <c r="J273" s="3" t="s">
        <v>24</v>
      </c>
      <c r="K273" s="3" t="s">
        <v>25</v>
      </c>
      <c r="L273" s="5">
        <v>200.0</v>
      </c>
      <c r="M273" s="5">
        <v>205.0</v>
      </c>
      <c r="N273" s="5">
        <v>205.0</v>
      </c>
      <c r="O273" s="5">
        <v>610.0</v>
      </c>
      <c r="P273" s="6">
        <v>44671.0</v>
      </c>
      <c r="Q273" s="3" t="s">
        <v>24</v>
      </c>
      <c r="R273" s="3" t="s">
        <v>25</v>
      </c>
      <c r="S273" s="5">
        <v>1631761.0</v>
      </c>
      <c r="T273" s="3"/>
      <c r="U273" s="3"/>
      <c r="V273" s="3"/>
      <c r="W273" s="3"/>
      <c r="X273" s="3"/>
    </row>
    <row r="274">
      <c r="A274" s="3" t="s">
        <v>598</v>
      </c>
      <c r="B274" s="3" t="s">
        <v>599</v>
      </c>
      <c r="C274" s="3" t="s">
        <v>21</v>
      </c>
      <c r="D274" s="3" t="s">
        <v>22</v>
      </c>
      <c r="E274" s="3" t="s">
        <v>600</v>
      </c>
      <c r="F274" s="3" t="s">
        <v>28</v>
      </c>
      <c r="G274" s="3" t="s">
        <v>29</v>
      </c>
      <c r="H274" s="3" t="s">
        <v>30</v>
      </c>
      <c r="I274" s="3" t="s">
        <v>25</v>
      </c>
      <c r="J274" s="3" t="s">
        <v>30</v>
      </c>
      <c r="K274" s="3" t="s">
        <v>25</v>
      </c>
      <c r="L274" s="5">
        <v>585.0</v>
      </c>
      <c r="M274" s="5">
        <v>326.0</v>
      </c>
      <c r="N274" s="5">
        <v>365.0</v>
      </c>
      <c r="O274" s="5">
        <v>1276.0</v>
      </c>
      <c r="P274" s="6">
        <v>44668.0</v>
      </c>
      <c r="Q274" s="3" t="s">
        <v>28</v>
      </c>
      <c r="R274" s="3" t="s">
        <v>29</v>
      </c>
      <c r="S274" s="5">
        <v>40704.0</v>
      </c>
      <c r="T274" s="3"/>
      <c r="U274" s="3"/>
      <c r="V274" s="3"/>
      <c r="W274" s="3"/>
      <c r="X274" s="3"/>
    </row>
    <row r="275">
      <c r="A275" s="3" t="s">
        <v>601</v>
      </c>
      <c r="B275" s="3" t="s">
        <v>602</v>
      </c>
      <c r="C275" s="3" t="s">
        <v>21</v>
      </c>
      <c r="D275" s="3" t="s">
        <v>22</v>
      </c>
      <c r="E275" s="3" t="s">
        <v>600</v>
      </c>
      <c r="F275" s="3" t="s">
        <v>28</v>
      </c>
      <c r="G275" s="3" t="s">
        <v>29</v>
      </c>
      <c r="H275" s="3" t="s">
        <v>30</v>
      </c>
      <c r="I275" s="3" t="s">
        <v>25</v>
      </c>
      <c r="J275" s="3" t="s">
        <v>30</v>
      </c>
      <c r="K275" s="3" t="s">
        <v>25</v>
      </c>
      <c r="L275" s="5">
        <v>587.0</v>
      </c>
      <c r="M275" s="5">
        <v>353.0</v>
      </c>
      <c r="N275" s="5">
        <v>305.0</v>
      </c>
      <c r="O275" s="5">
        <v>1245.0</v>
      </c>
      <c r="P275" s="6">
        <v>44667.0</v>
      </c>
      <c r="Q275" s="3" t="s">
        <v>28</v>
      </c>
      <c r="R275" s="3" t="s">
        <v>29</v>
      </c>
      <c r="S275" s="5">
        <v>7084.0</v>
      </c>
      <c r="T275" s="3"/>
      <c r="U275" s="3"/>
      <c r="V275" s="3"/>
      <c r="W275" s="3"/>
      <c r="X275" s="3"/>
    </row>
    <row r="276">
      <c r="A276" s="3" t="s">
        <v>603</v>
      </c>
      <c r="B276" s="3" t="s">
        <v>604</v>
      </c>
      <c r="C276" s="3" t="s">
        <v>21</v>
      </c>
      <c r="D276" s="3" t="s">
        <v>22</v>
      </c>
      <c r="E276" s="3" t="s">
        <v>600</v>
      </c>
      <c r="F276" s="3" t="s">
        <v>28</v>
      </c>
      <c r="G276" s="3" t="s">
        <v>29</v>
      </c>
      <c r="H276" s="3" t="s">
        <v>30</v>
      </c>
      <c r="I276" s="3" t="s">
        <v>25</v>
      </c>
      <c r="J276" s="3" t="s">
        <v>30</v>
      </c>
      <c r="K276" s="3" t="s">
        <v>25</v>
      </c>
      <c r="L276" s="5">
        <v>530.0</v>
      </c>
      <c r="M276" s="5">
        <v>374.0</v>
      </c>
      <c r="N276" s="5">
        <v>340.0</v>
      </c>
      <c r="O276" s="5">
        <v>1244.0</v>
      </c>
      <c r="P276" s="6">
        <v>44670.0</v>
      </c>
      <c r="Q276" s="3" t="s">
        <v>28</v>
      </c>
      <c r="R276" s="3" t="s">
        <v>29</v>
      </c>
      <c r="S276" s="5">
        <v>100493.0</v>
      </c>
      <c r="T276" s="3"/>
      <c r="U276" s="3"/>
      <c r="V276" s="3"/>
      <c r="W276" s="3"/>
      <c r="X276" s="3"/>
    </row>
    <row r="277">
      <c r="A277" s="3" t="s">
        <v>605</v>
      </c>
      <c r="B277" s="3" t="s">
        <v>606</v>
      </c>
      <c r="C277" s="3" t="s">
        <v>21</v>
      </c>
      <c r="D277" s="3" t="s">
        <v>22</v>
      </c>
      <c r="E277" s="3" t="s">
        <v>600</v>
      </c>
      <c r="F277" s="3" t="s">
        <v>28</v>
      </c>
      <c r="G277" s="3" t="s">
        <v>29</v>
      </c>
      <c r="H277" s="3" t="s">
        <v>30</v>
      </c>
      <c r="I277" s="3" t="s">
        <v>25</v>
      </c>
      <c r="J277" s="3" t="s">
        <v>30</v>
      </c>
      <c r="K277" s="3" t="s">
        <v>25</v>
      </c>
      <c r="L277" s="5">
        <v>570.0</v>
      </c>
      <c r="M277" s="5">
        <v>322.0</v>
      </c>
      <c r="N277" s="5">
        <v>300.0</v>
      </c>
      <c r="O277" s="5">
        <v>1192.0</v>
      </c>
      <c r="P277" s="6">
        <v>44668.0</v>
      </c>
      <c r="Q277" s="3" t="s">
        <v>31</v>
      </c>
      <c r="R277" s="3" t="s">
        <v>29</v>
      </c>
      <c r="S277" s="5">
        <v>48465.0</v>
      </c>
      <c r="T277" s="3"/>
      <c r="U277" s="3"/>
      <c r="V277" s="3"/>
      <c r="W277" s="3"/>
      <c r="X277" s="3"/>
    </row>
    <row r="278">
      <c r="A278" s="3" t="s">
        <v>607</v>
      </c>
      <c r="B278" s="3" t="s">
        <v>608</v>
      </c>
      <c r="C278" s="3" t="s">
        <v>21</v>
      </c>
      <c r="D278" s="3" t="s">
        <v>22</v>
      </c>
      <c r="E278" s="3" t="s">
        <v>600</v>
      </c>
      <c r="F278" s="3" t="s">
        <v>28</v>
      </c>
      <c r="G278" s="3" t="s">
        <v>29</v>
      </c>
      <c r="H278" s="3" t="s">
        <v>30</v>
      </c>
      <c r="I278" s="3" t="s">
        <v>25</v>
      </c>
      <c r="J278" s="3" t="s">
        <v>30</v>
      </c>
      <c r="K278" s="3" t="s">
        <v>25</v>
      </c>
      <c r="L278" s="5">
        <v>525.0</v>
      </c>
      <c r="M278" s="5">
        <v>361.0</v>
      </c>
      <c r="N278" s="5">
        <v>300.0</v>
      </c>
      <c r="O278" s="5">
        <v>1186.0</v>
      </c>
      <c r="P278" s="6">
        <v>44668.0</v>
      </c>
      <c r="Q278" s="3" t="s">
        <v>31</v>
      </c>
      <c r="R278" s="3" t="s">
        <v>29</v>
      </c>
      <c r="S278" s="5">
        <v>47111.0</v>
      </c>
      <c r="T278" s="3"/>
      <c r="U278" s="3"/>
      <c r="V278" s="3"/>
      <c r="W278" s="3"/>
      <c r="X278" s="3"/>
    </row>
    <row r="279">
      <c r="A279" s="3" t="s">
        <v>609</v>
      </c>
      <c r="B279" s="3" t="s">
        <v>610</v>
      </c>
      <c r="C279" s="3" t="s">
        <v>21</v>
      </c>
      <c r="D279" s="3" t="s">
        <v>22</v>
      </c>
      <c r="E279" s="3" t="s">
        <v>600</v>
      </c>
      <c r="F279" s="3" t="s">
        <v>28</v>
      </c>
      <c r="G279" s="3" t="s">
        <v>29</v>
      </c>
      <c r="H279" s="3" t="s">
        <v>30</v>
      </c>
      <c r="I279" s="3" t="s">
        <v>25</v>
      </c>
      <c r="J279" s="3" t="s">
        <v>30</v>
      </c>
      <c r="K279" s="3" t="s">
        <v>25</v>
      </c>
      <c r="L279" s="5">
        <v>525.0</v>
      </c>
      <c r="M279" s="5">
        <v>306.0</v>
      </c>
      <c r="N279" s="5">
        <v>300.0</v>
      </c>
      <c r="O279" s="5">
        <v>1131.0</v>
      </c>
      <c r="P279" s="6">
        <v>44667.0</v>
      </c>
      <c r="Q279" s="3" t="s">
        <v>31</v>
      </c>
      <c r="R279" s="3" t="s">
        <v>29</v>
      </c>
      <c r="S279" s="5">
        <v>23217.0</v>
      </c>
      <c r="T279" s="3"/>
      <c r="U279" s="3"/>
      <c r="V279" s="3"/>
      <c r="W279" s="3"/>
      <c r="X279" s="3"/>
    </row>
    <row r="280">
      <c r="A280" s="3" t="s">
        <v>611</v>
      </c>
      <c r="B280" s="3" t="s">
        <v>612</v>
      </c>
      <c r="C280" s="3" t="s">
        <v>21</v>
      </c>
      <c r="D280" s="3" t="s">
        <v>59</v>
      </c>
      <c r="E280" s="3" t="s">
        <v>600</v>
      </c>
      <c r="F280" s="3" t="s">
        <v>28</v>
      </c>
      <c r="G280" s="3" t="s">
        <v>29</v>
      </c>
      <c r="H280" s="3" t="s">
        <v>30</v>
      </c>
      <c r="I280" s="3" t="s">
        <v>25</v>
      </c>
      <c r="J280" s="3" t="s">
        <v>30</v>
      </c>
      <c r="K280" s="3" t="s">
        <v>25</v>
      </c>
      <c r="L280" s="5">
        <v>520.0</v>
      </c>
      <c r="M280" s="5">
        <v>307.0</v>
      </c>
      <c r="N280" s="5">
        <v>300.0</v>
      </c>
      <c r="O280" s="5">
        <v>1127.0</v>
      </c>
      <c r="P280" s="6">
        <v>44669.0</v>
      </c>
      <c r="Q280" s="3" t="s">
        <v>31</v>
      </c>
      <c r="R280" s="3" t="s">
        <v>29</v>
      </c>
      <c r="S280" s="5">
        <v>1103982.0</v>
      </c>
      <c r="T280" s="3"/>
      <c r="U280" s="3"/>
      <c r="V280" s="3"/>
      <c r="W280" s="3"/>
      <c r="X280" s="3"/>
    </row>
    <row r="281">
      <c r="A281" s="3" t="s">
        <v>613</v>
      </c>
      <c r="B281" s="3" t="s">
        <v>614</v>
      </c>
      <c r="C281" s="3" t="s">
        <v>21</v>
      </c>
      <c r="D281" s="3" t="s">
        <v>59</v>
      </c>
      <c r="E281" s="3" t="s">
        <v>600</v>
      </c>
      <c r="F281" s="3" t="s">
        <v>28</v>
      </c>
      <c r="G281" s="3" t="s">
        <v>29</v>
      </c>
      <c r="H281" s="3" t="s">
        <v>30</v>
      </c>
      <c r="I281" s="3" t="s">
        <v>25</v>
      </c>
      <c r="J281" s="3" t="s">
        <v>30</v>
      </c>
      <c r="K281" s="3" t="s">
        <v>25</v>
      </c>
      <c r="L281" s="5">
        <v>520.0</v>
      </c>
      <c r="M281" s="5">
        <v>302.0</v>
      </c>
      <c r="N281" s="5">
        <v>305.0</v>
      </c>
      <c r="O281" s="5">
        <v>1127.0</v>
      </c>
      <c r="P281" s="6">
        <v>44668.0</v>
      </c>
      <c r="Q281" s="3" t="s">
        <v>31</v>
      </c>
      <c r="R281" s="3" t="s">
        <v>29</v>
      </c>
      <c r="S281" s="5">
        <v>910406.0</v>
      </c>
      <c r="T281" s="3"/>
      <c r="U281" s="3"/>
      <c r="V281" s="3"/>
      <c r="W281" s="3"/>
      <c r="X281" s="3"/>
    </row>
    <row r="282">
      <c r="A282" s="3" t="s">
        <v>615</v>
      </c>
      <c r="B282" s="3" t="s">
        <v>616</v>
      </c>
      <c r="C282" s="3" t="s">
        <v>21</v>
      </c>
      <c r="D282" s="3" t="s">
        <v>22</v>
      </c>
      <c r="E282" s="3" t="s">
        <v>600</v>
      </c>
      <c r="F282" s="3" t="s">
        <v>28</v>
      </c>
      <c r="G282" s="3" t="s">
        <v>29</v>
      </c>
      <c r="H282" s="3" t="s">
        <v>30</v>
      </c>
      <c r="I282" s="3" t="s">
        <v>25</v>
      </c>
      <c r="J282" s="3" t="s">
        <v>30</v>
      </c>
      <c r="K282" s="3" t="s">
        <v>25</v>
      </c>
      <c r="L282" s="5">
        <v>515.0</v>
      </c>
      <c r="M282" s="5">
        <v>301.0</v>
      </c>
      <c r="N282" s="5">
        <v>305.0</v>
      </c>
      <c r="O282" s="5">
        <v>1121.0</v>
      </c>
      <c r="P282" s="6">
        <v>44667.0</v>
      </c>
      <c r="Q282" s="3" t="s">
        <v>31</v>
      </c>
      <c r="R282" s="3" t="s">
        <v>29</v>
      </c>
      <c r="S282" s="5">
        <v>16732.0</v>
      </c>
      <c r="T282" s="3"/>
      <c r="U282" s="3"/>
      <c r="V282" s="3"/>
      <c r="W282" s="3"/>
      <c r="X282" s="3"/>
    </row>
    <row r="283">
      <c r="A283" s="3" t="s">
        <v>617</v>
      </c>
      <c r="B283" s="3" t="s">
        <v>618</v>
      </c>
      <c r="C283" s="3" t="s">
        <v>21</v>
      </c>
      <c r="D283" s="3" t="s">
        <v>59</v>
      </c>
      <c r="E283" s="3" t="s">
        <v>600</v>
      </c>
      <c r="F283" s="3" t="s">
        <v>28</v>
      </c>
      <c r="G283" s="3" t="s">
        <v>29</v>
      </c>
      <c r="H283" s="3" t="s">
        <v>30</v>
      </c>
      <c r="I283" s="3" t="s">
        <v>25</v>
      </c>
      <c r="J283" s="3" t="s">
        <v>30</v>
      </c>
      <c r="K283" s="3" t="s">
        <v>25</v>
      </c>
      <c r="L283" s="5">
        <v>500.0</v>
      </c>
      <c r="M283" s="5">
        <v>300.0</v>
      </c>
      <c r="N283" s="5">
        <v>300.0</v>
      </c>
      <c r="O283" s="5">
        <v>1100.0</v>
      </c>
      <c r="P283" s="6">
        <v>44667.0</v>
      </c>
      <c r="Q283" s="3" t="s">
        <v>31</v>
      </c>
      <c r="R283" s="3" t="s">
        <v>29</v>
      </c>
      <c r="S283" s="5">
        <v>3545.0</v>
      </c>
      <c r="T283" s="3"/>
      <c r="U283" s="3"/>
      <c r="V283" s="3"/>
      <c r="W283" s="3"/>
      <c r="X283" s="3"/>
    </row>
    <row r="284">
      <c r="A284" s="3" t="s">
        <v>619</v>
      </c>
      <c r="B284" s="3" t="s">
        <v>620</v>
      </c>
      <c r="C284" s="3" t="s">
        <v>21</v>
      </c>
      <c r="D284" s="3" t="s">
        <v>22</v>
      </c>
      <c r="E284" s="3" t="s">
        <v>600</v>
      </c>
      <c r="F284" s="3" t="s">
        <v>28</v>
      </c>
      <c r="G284" s="3" t="s">
        <v>29</v>
      </c>
      <c r="H284" s="3" t="s">
        <v>30</v>
      </c>
      <c r="I284" s="3" t="s">
        <v>25</v>
      </c>
      <c r="J284" s="3" t="s">
        <v>30</v>
      </c>
      <c r="K284" s="3" t="s">
        <v>25</v>
      </c>
      <c r="L284" s="5">
        <v>500.0</v>
      </c>
      <c r="M284" s="5">
        <v>300.0</v>
      </c>
      <c r="N284" s="5">
        <v>300.0</v>
      </c>
      <c r="O284" s="5">
        <v>1100.0</v>
      </c>
      <c r="P284" s="6">
        <v>44669.0</v>
      </c>
      <c r="Q284" s="3" t="s">
        <v>31</v>
      </c>
      <c r="R284" s="3" t="s">
        <v>29</v>
      </c>
      <c r="S284" s="5">
        <v>63754.0</v>
      </c>
      <c r="T284" s="3"/>
      <c r="U284" s="3"/>
      <c r="V284" s="3"/>
      <c r="W284" s="3"/>
      <c r="X284" s="3"/>
    </row>
    <row r="285">
      <c r="A285" s="3" t="s">
        <v>621</v>
      </c>
      <c r="B285" s="3" t="s">
        <v>622</v>
      </c>
      <c r="C285" s="3" t="s">
        <v>21</v>
      </c>
      <c r="D285" s="3" t="s">
        <v>59</v>
      </c>
      <c r="E285" s="3" t="s">
        <v>600</v>
      </c>
      <c r="F285" s="3" t="s">
        <v>28</v>
      </c>
      <c r="G285" s="3" t="s">
        <v>29</v>
      </c>
      <c r="H285" s="3" t="s">
        <v>24</v>
      </c>
      <c r="I285" s="3" t="s">
        <v>25</v>
      </c>
      <c r="J285" s="3" t="s">
        <v>30</v>
      </c>
      <c r="K285" s="3" t="s">
        <v>25</v>
      </c>
      <c r="L285" s="5">
        <v>510.0</v>
      </c>
      <c r="M285" s="5">
        <v>248.0</v>
      </c>
      <c r="N285" s="5">
        <v>305.0</v>
      </c>
      <c r="O285" s="5">
        <v>1063.0</v>
      </c>
      <c r="P285" s="6">
        <v>44723.0</v>
      </c>
      <c r="Q285" s="3" t="s">
        <v>31</v>
      </c>
      <c r="R285" s="3" t="s">
        <v>29</v>
      </c>
      <c r="S285" s="5">
        <v>1826397.0</v>
      </c>
      <c r="T285" s="3"/>
      <c r="U285" s="3"/>
      <c r="V285" s="3"/>
      <c r="W285" s="3"/>
      <c r="X285" s="3"/>
    </row>
    <row r="286">
      <c r="A286" s="3" t="s">
        <v>623</v>
      </c>
      <c r="B286" s="3" t="s">
        <v>624</v>
      </c>
      <c r="C286" s="3" t="s">
        <v>21</v>
      </c>
      <c r="D286" s="3" t="s">
        <v>59</v>
      </c>
      <c r="E286" s="3" t="s">
        <v>600</v>
      </c>
      <c r="F286" s="3" t="s">
        <v>28</v>
      </c>
      <c r="G286" s="3" t="s">
        <v>29</v>
      </c>
      <c r="H286" s="3" t="s">
        <v>30</v>
      </c>
      <c r="I286" s="3" t="s">
        <v>25</v>
      </c>
      <c r="J286" s="3" t="s">
        <v>24</v>
      </c>
      <c r="K286" s="3" t="s">
        <v>25</v>
      </c>
      <c r="L286" s="5">
        <v>500.0</v>
      </c>
      <c r="M286" s="5">
        <v>302.0</v>
      </c>
      <c r="N286" s="5">
        <v>220.0</v>
      </c>
      <c r="O286" s="5">
        <v>1022.0</v>
      </c>
      <c r="P286" s="6">
        <v>44873.0</v>
      </c>
      <c r="Q286" s="3" t="s">
        <v>31</v>
      </c>
      <c r="R286" s="3" t="s">
        <v>29</v>
      </c>
      <c r="S286" s="5">
        <v>802481.0</v>
      </c>
      <c r="T286" s="3"/>
      <c r="U286" s="3"/>
      <c r="V286" s="3"/>
      <c r="W286" s="3"/>
      <c r="X286" s="3"/>
    </row>
    <row r="287">
      <c r="A287" s="3" t="s">
        <v>625</v>
      </c>
      <c r="B287" s="3" t="s">
        <v>626</v>
      </c>
      <c r="C287" s="3" t="s">
        <v>21</v>
      </c>
      <c r="D287" s="3" t="s">
        <v>22</v>
      </c>
      <c r="E287" s="3" t="s">
        <v>600</v>
      </c>
      <c r="F287" s="3" t="s">
        <v>30</v>
      </c>
      <c r="G287" s="3" t="s">
        <v>25</v>
      </c>
      <c r="H287" s="3" t="s">
        <v>24</v>
      </c>
      <c r="I287" s="3" t="s">
        <v>25</v>
      </c>
      <c r="J287" s="3" t="s">
        <v>30</v>
      </c>
      <c r="K287" s="3" t="s">
        <v>25</v>
      </c>
      <c r="L287" s="5">
        <v>345.0</v>
      </c>
      <c r="M287" s="5">
        <v>256.0</v>
      </c>
      <c r="N287" s="5">
        <v>300.0</v>
      </c>
      <c r="O287" s="5">
        <v>901.0</v>
      </c>
      <c r="P287" s="6">
        <v>44722.0</v>
      </c>
      <c r="Q287" s="3" t="s">
        <v>31</v>
      </c>
      <c r="R287" s="3" t="s">
        <v>29</v>
      </c>
      <c r="S287" s="5">
        <v>1679273.0</v>
      </c>
      <c r="T287" s="3"/>
      <c r="U287" s="3"/>
      <c r="V287" s="3"/>
      <c r="W287" s="3"/>
      <c r="X287" s="3"/>
    </row>
    <row r="288">
      <c r="A288" s="3" t="s">
        <v>627</v>
      </c>
      <c r="B288" s="3" t="s">
        <v>628</v>
      </c>
      <c r="C288" s="3" t="s">
        <v>21</v>
      </c>
      <c r="D288" s="3" t="s">
        <v>22</v>
      </c>
      <c r="E288" s="3" t="s">
        <v>629</v>
      </c>
      <c r="F288" s="3" t="s">
        <v>147</v>
      </c>
      <c r="G288" s="3" t="s">
        <v>148</v>
      </c>
      <c r="H288" s="3" t="s">
        <v>30</v>
      </c>
      <c r="I288" s="3" t="s">
        <v>25</v>
      </c>
      <c r="J288" s="3" t="s">
        <v>30</v>
      </c>
      <c r="K288" s="3" t="s">
        <v>25</v>
      </c>
      <c r="L288" s="5">
        <v>607.0</v>
      </c>
      <c r="M288" s="5">
        <v>384.0</v>
      </c>
      <c r="N288" s="5">
        <v>315.0</v>
      </c>
      <c r="O288" s="5">
        <v>1306.0</v>
      </c>
      <c r="P288" s="6">
        <v>44667.0</v>
      </c>
      <c r="Q288" s="3" t="s">
        <v>28</v>
      </c>
      <c r="R288" s="3" t="s">
        <v>29</v>
      </c>
      <c r="S288" s="5">
        <v>10795.0</v>
      </c>
      <c r="T288" s="3"/>
      <c r="U288" s="3"/>
      <c r="V288" s="3"/>
      <c r="W288" s="3"/>
      <c r="X288" s="3"/>
    </row>
    <row r="289">
      <c r="A289" s="3" t="s">
        <v>630</v>
      </c>
      <c r="B289" s="3" t="s">
        <v>631</v>
      </c>
      <c r="C289" s="3" t="s">
        <v>21</v>
      </c>
      <c r="D289" s="3" t="s">
        <v>22</v>
      </c>
      <c r="E289" s="3" t="s">
        <v>629</v>
      </c>
      <c r="F289" s="3" t="s">
        <v>28</v>
      </c>
      <c r="G289" s="3" t="s">
        <v>29</v>
      </c>
      <c r="H289" s="3" t="s">
        <v>30</v>
      </c>
      <c r="I289" s="3" t="s">
        <v>25</v>
      </c>
      <c r="J289" s="3" t="s">
        <v>30</v>
      </c>
      <c r="K289" s="3" t="s">
        <v>25</v>
      </c>
      <c r="L289" s="5">
        <v>525.0</v>
      </c>
      <c r="M289" s="5">
        <v>399.0</v>
      </c>
      <c r="N289" s="5">
        <v>300.0</v>
      </c>
      <c r="O289" s="5">
        <v>1224.0</v>
      </c>
      <c r="P289" s="6">
        <v>44667.0</v>
      </c>
      <c r="Q289" s="3" t="s">
        <v>28</v>
      </c>
      <c r="R289" s="3" t="s">
        <v>29</v>
      </c>
      <c r="S289" s="5">
        <v>885725.0</v>
      </c>
      <c r="T289" s="3"/>
      <c r="U289" s="3"/>
      <c r="V289" s="3"/>
      <c r="W289" s="3"/>
      <c r="X289" s="3"/>
    </row>
    <row r="290">
      <c r="A290" s="3" t="s">
        <v>632</v>
      </c>
      <c r="B290" s="3" t="s">
        <v>633</v>
      </c>
      <c r="C290" s="3" t="s">
        <v>21</v>
      </c>
      <c r="D290" s="3" t="s">
        <v>22</v>
      </c>
      <c r="E290" s="3" t="s">
        <v>629</v>
      </c>
      <c r="F290" s="3" t="s">
        <v>28</v>
      </c>
      <c r="G290" s="3" t="s">
        <v>29</v>
      </c>
      <c r="H290" s="3" t="s">
        <v>30</v>
      </c>
      <c r="I290" s="3" t="s">
        <v>25</v>
      </c>
      <c r="J290" s="3" t="s">
        <v>30</v>
      </c>
      <c r="K290" s="3" t="s">
        <v>25</v>
      </c>
      <c r="L290" s="5">
        <v>560.0</v>
      </c>
      <c r="M290" s="5">
        <v>320.0</v>
      </c>
      <c r="N290" s="5">
        <v>338.0</v>
      </c>
      <c r="O290" s="5">
        <v>1218.0</v>
      </c>
      <c r="P290" s="6">
        <v>44670.0</v>
      </c>
      <c r="Q290" s="3" t="s">
        <v>28</v>
      </c>
      <c r="R290" s="3" t="s">
        <v>29</v>
      </c>
      <c r="S290" s="5">
        <v>352915.0</v>
      </c>
      <c r="T290" s="3"/>
      <c r="U290" s="3"/>
      <c r="V290" s="3"/>
      <c r="W290" s="3"/>
      <c r="X290" s="3"/>
    </row>
    <row r="291">
      <c r="A291" s="3" t="s">
        <v>634</v>
      </c>
      <c r="B291" s="3" t="s">
        <v>635</v>
      </c>
      <c r="C291" s="3" t="s">
        <v>21</v>
      </c>
      <c r="D291" s="3" t="s">
        <v>22</v>
      </c>
      <c r="E291" s="3" t="s">
        <v>629</v>
      </c>
      <c r="F291" s="3" t="s">
        <v>28</v>
      </c>
      <c r="G291" s="3" t="s">
        <v>29</v>
      </c>
      <c r="H291" s="3" t="s">
        <v>30</v>
      </c>
      <c r="I291" s="3" t="s">
        <v>25</v>
      </c>
      <c r="J291" s="3" t="s">
        <v>30</v>
      </c>
      <c r="K291" s="3" t="s">
        <v>25</v>
      </c>
      <c r="L291" s="5">
        <v>548.0</v>
      </c>
      <c r="M291" s="5">
        <v>355.0</v>
      </c>
      <c r="N291" s="5">
        <v>315.0</v>
      </c>
      <c r="O291" s="5">
        <v>1218.0</v>
      </c>
      <c r="P291" s="6">
        <v>44667.0</v>
      </c>
      <c r="Q291" s="3" t="s">
        <v>28</v>
      </c>
      <c r="R291" s="3" t="s">
        <v>29</v>
      </c>
      <c r="S291" s="5">
        <v>1071739.0</v>
      </c>
      <c r="T291" s="3"/>
      <c r="U291" s="3"/>
      <c r="V291" s="3"/>
      <c r="W291" s="3"/>
      <c r="X291" s="3"/>
    </row>
    <row r="292">
      <c r="A292" s="3" t="s">
        <v>636</v>
      </c>
      <c r="B292" s="3" t="s">
        <v>637</v>
      </c>
      <c r="C292" s="3" t="s">
        <v>21</v>
      </c>
      <c r="D292" s="3" t="s">
        <v>59</v>
      </c>
      <c r="E292" s="3" t="s">
        <v>629</v>
      </c>
      <c r="F292" s="3" t="s">
        <v>28</v>
      </c>
      <c r="G292" s="3" t="s">
        <v>29</v>
      </c>
      <c r="H292" s="3" t="s">
        <v>30</v>
      </c>
      <c r="I292" s="3" t="s">
        <v>25</v>
      </c>
      <c r="J292" s="3" t="s">
        <v>30</v>
      </c>
      <c r="K292" s="3" t="s">
        <v>25</v>
      </c>
      <c r="L292" s="5">
        <v>545.0</v>
      </c>
      <c r="M292" s="5">
        <v>324.0</v>
      </c>
      <c r="N292" s="5">
        <v>320.0</v>
      </c>
      <c r="O292" s="5">
        <v>1189.0</v>
      </c>
      <c r="P292" s="6">
        <v>44722.0</v>
      </c>
      <c r="Q292" s="3" t="s">
        <v>31</v>
      </c>
      <c r="R292" s="3" t="s">
        <v>29</v>
      </c>
      <c r="S292" s="5">
        <v>1636422.0</v>
      </c>
      <c r="T292" s="3"/>
      <c r="U292" s="3"/>
      <c r="V292" s="3"/>
      <c r="W292" s="3"/>
      <c r="X292" s="3"/>
    </row>
    <row r="293">
      <c r="A293" s="3" t="s">
        <v>638</v>
      </c>
      <c r="B293" s="3" t="s">
        <v>639</v>
      </c>
      <c r="C293" s="3" t="s">
        <v>21</v>
      </c>
      <c r="D293" s="3" t="s">
        <v>22</v>
      </c>
      <c r="E293" s="3" t="s">
        <v>629</v>
      </c>
      <c r="F293" s="3" t="s">
        <v>28</v>
      </c>
      <c r="G293" s="3" t="s">
        <v>29</v>
      </c>
      <c r="H293" s="3" t="s">
        <v>30</v>
      </c>
      <c r="I293" s="3" t="s">
        <v>25</v>
      </c>
      <c r="J293" s="3" t="s">
        <v>30</v>
      </c>
      <c r="K293" s="3" t="s">
        <v>25</v>
      </c>
      <c r="L293" s="5">
        <v>520.0</v>
      </c>
      <c r="M293" s="5">
        <v>348.0</v>
      </c>
      <c r="N293" s="5">
        <v>305.0</v>
      </c>
      <c r="O293" s="5">
        <v>1173.0</v>
      </c>
      <c r="P293" s="6">
        <v>44668.0</v>
      </c>
      <c r="Q293" s="3" t="s">
        <v>31</v>
      </c>
      <c r="R293" s="3" t="s">
        <v>29</v>
      </c>
      <c r="S293" s="5">
        <v>860730.0</v>
      </c>
      <c r="T293" s="3"/>
      <c r="U293" s="3"/>
      <c r="V293" s="3"/>
      <c r="W293" s="3"/>
      <c r="X293" s="3"/>
    </row>
    <row r="294">
      <c r="A294" s="3" t="s">
        <v>640</v>
      </c>
      <c r="B294" s="3" t="s">
        <v>641</v>
      </c>
      <c r="C294" s="3" t="s">
        <v>21</v>
      </c>
      <c r="D294" s="3" t="s">
        <v>22</v>
      </c>
      <c r="E294" s="3" t="s">
        <v>629</v>
      </c>
      <c r="F294" s="3" t="s">
        <v>28</v>
      </c>
      <c r="G294" s="3" t="s">
        <v>29</v>
      </c>
      <c r="H294" s="3" t="s">
        <v>30</v>
      </c>
      <c r="I294" s="3" t="s">
        <v>25</v>
      </c>
      <c r="J294" s="3" t="s">
        <v>30</v>
      </c>
      <c r="K294" s="3" t="s">
        <v>25</v>
      </c>
      <c r="L294" s="5">
        <v>520.0</v>
      </c>
      <c r="M294" s="5">
        <v>330.0</v>
      </c>
      <c r="N294" s="5">
        <v>310.0</v>
      </c>
      <c r="O294" s="5">
        <v>1160.0</v>
      </c>
      <c r="P294" s="6">
        <v>44671.0</v>
      </c>
      <c r="Q294" s="3" t="s">
        <v>31</v>
      </c>
      <c r="R294" s="3" t="s">
        <v>29</v>
      </c>
      <c r="S294" s="5">
        <v>1136869.0</v>
      </c>
      <c r="T294" s="3"/>
      <c r="U294" s="3"/>
      <c r="V294" s="3"/>
      <c r="W294" s="3"/>
      <c r="X294" s="3"/>
    </row>
    <row r="295">
      <c r="A295" s="3" t="s">
        <v>642</v>
      </c>
      <c r="B295" s="3" t="s">
        <v>643</v>
      </c>
      <c r="C295" s="3" t="s">
        <v>21</v>
      </c>
      <c r="D295" s="3" t="s">
        <v>22</v>
      </c>
      <c r="E295" s="3" t="s">
        <v>629</v>
      </c>
      <c r="F295" s="3" t="s">
        <v>28</v>
      </c>
      <c r="G295" s="3" t="s">
        <v>29</v>
      </c>
      <c r="H295" s="3" t="s">
        <v>30</v>
      </c>
      <c r="I295" s="3" t="s">
        <v>25</v>
      </c>
      <c r="J295" s="3" t="s">
        <v>30</v>
      </c>
      <c r="K295" s="3" t="s">
        <v>25</v>
      </c>
      <c r="L295" s="5">
        <v>540.0</v>
      </c>
      <c r="M295" s="5">
        <v>302.0</v>
      </c>
      <c r="N295" s="5">
        <v>315.0</v>
      </c>
      <c r="O295" s="5">
        <v>1157.0</v>
      </c>
      <c r="P295" s="6">
        <v>44668.0</v>
      </c>
      <c r="Q295" s="3" t="s">
        <v>31</v>
      </c>
      <c r="R295" s="3" t="s">
        <v>29</v>
      </c>
      <c r="S295" s="5">
        <v>64803.0</v>
      </c>
      <c r="T295" s="3"/>
      <c r="U295" s="3"/>
      <c r="V295" s="3"/>
      <c r="W295" s="3"/>
      <c r="X295" s="3"/>
    </row>
    <row r="296">
      <c r="A296" s="3" t="s">
        <v>644</v>
      </c>
      <c r="B296" s="3" t="s">
        <v>645</v>
      </c>
      <c r="C296" s="3" t="s">
        <v>21</v>
      </c>
      <c r="D296" s="3" t="s">
        <v>59</v>
      </c>
      <c r="E296" s="3" t="s">
        <v>629</v>
      </c>
      <c r="F296" s="3" t="s">
        <v>28</v>
      </c>
      <c r="G296" s="3" t="s">
        <v>29</v>
      </c>
      <c r="H296" s="3" t="s">
        <v>30</v>
      </c>
      <c r="I296" s="3" t="s">
        <v>25</v>
      </c>
      <c r="J296" s="3" t="s">
        <v>30</v>
      </c>
      <c r="K296" s="3" t="s">
        <v>25</v>
      </c>
      <c r="L296" s="5">
        <v>515.0</v>
      </c>
      <c r="M296" s="5">
        <v>324.0</v>
      </c>
      <c r="N296" s="5">
        <v>315.0</v>
      </c>
      <c r="O296" s="5">
        <v>1154.0</v>
      </c>
      <c r="P296" s="6">
        <v>44668.0</v>
      </c>
      <c r="Q296" s="3" t="s">
        <v>31</v>
      </c>
      <c r="R296" s="3" t="s">
        <v>29</v>
      </c>
      <c r="S296" s="5">
        <v>859737.0</v>
      </c>
      <c r="T296" s="3"/>
      <c r="U296" s="3"/>
      <c r="V296" s="3"/>
      <c r="W296" s="3"/>
      <c r="X296" s="3"/>
    </row>
    <row r="297">
      <c r="A297" s="3" t="s">
        <v>646</v>
      </c>
      <c r="B297" s="3" t="s">
        <v>647</v>
      </c>
      <c r="C297" s="3" t="s">
        <v>21</v>
      </c>
      <c r="D297" s="3" t="s">
        <v>59</v>
      </c>
      <c r="E297" s="3" t="s">
        <v>629</v>
      </c>
      <c r="F297" s="3" t="s">
        <v>28</v>
      </c>
      <c r="G297" s="3" t="s">
        <v>29</v>
      </c>
      <c r="H297" s="3" t="s">
        <v>30</v>
      </c>
      <c r="I297" s="3" t="s">
        <v>25</v>
      </c>
      <c r="J297" s="3" t="s">
        <v>30</v>
      </c>
      <c r="K297" s="3" t="s">
        <v>25</v>
      </c>
      <c r="L297" s="5">
        <v>530.0</v>
      </c>
      <c r="M297" s="5">
        <v>318.0</v>
      </c>
      <c r="N297" s="5">
        <v>305.0</v>
      </c>
      <c r="O297" s="5">
        <v>1153.0</v>
      </c>
      <c r="P297" s="6">
        <v>44668.0</v>
      </c>
      <c r="Q297" s="3" t="s">
        <v>31</v>
      </c>
      <c r="R297" s="3" t="s">
        <v>29</v>
      </c>
      <c r="S297" s="5">
        <v>818479.0</v>
      </c>
      <c r="T297" s="3"/>
      <c r="U297" s="3"/>
      <c r="V297" s="3"/>
      <c r="W297" s="3"/>
      <c r="X297" s="3"/>
    </row>
    <row r="298">
      <c r="A298" s="3" t="s">
        <v>648</v>
      </c>
      <c r="B298" s="3" t="s">
        <v>649</v>
      </c>
      <c r="C298" s="3" t="s">
        <v>21</v>
      </c>
      <c r="D298" s="3" t="s">
        <v>22</v>
      </c>
      <c r="E298" s="3" t="s">
        <v>629</v>
      </c>
      <c r="F298" s="3" t="s">
        <v>28</v>
      </c>
      <c r="G298" s="3" t="s">
        <v>29</v>
      </c>
      <c r="H298" s="3" t="s">
        <v>30</v>
      </c>
      <c r="I298" s="3" t="s">
        <v>25</v>
      </c>
      <c r="J298" s="3" t="s">
        <v>30</v>
      </c>
      <c r="K298" s="3" t="s">
        <v>25</v>
      </c>
      <c r="L298" s="5">
        <v>508.0</v>
      </c>
      <c r="M298" s="5">
        <v>328.0</v>
      </c>
      <c r="N298" s="5">
        <v>310.0</v>
      </c>
      <c r="O298" s="5">
        <v>1146.0</v>
      </c>
      <c r="P298" s="6">
        <v>44667.0</v>
      </c>
      <c r="Q298" s="3" t="s">
        <v>31</v>
      </c>
      <c r="R298" s="3" t="s">
        <v>29</v>
      </c>
      <c r="S298" s="5">
        <v>1739940.0</v>
      </c>
      <c r="T298" s="3"/>
      <c r="U298" s="3"/>
      <c r="V298" s="3"/>
      <c r="W298" s="3"/>
      <c r="X298" s="3"/>
    </row>
    <row r="299">
      <c r="A299" s="3" t="s">
        <v>650</v>
      </c>
      <c r="B299" s="3" t="s">
        <v>651</v>
      </c>
      <c r="C299" s="3" t="s">
        <v>21</v>
      </c>
      <c r="D299" s="3" t="s">
        <v>22</v>
      </c>
      <c r="E299" s="3" t="s">
        <v>629</v>
      </c>
      <c r="F299" s="3" t="s">
        <v>28</v>
      </c>
      <c r="G299" s="3" t="s">
        <v>29</v>
      </c>
      <c r="H299" s="3" t="s">
        <v>30</v>
      </c>
      <c r="I299" s="3" t="s">
        <v>25</v>
      </c>
      <c r="J299" s="3" t="s">
        <v>30</v>
      </c>
      <c r="K299" s="3" t="s">
        <v>25</v>
      </c>
      <c r="L299" s="5">
        <v>515.0</v>
      </c>
      <c r="M299" s="5">
        <v>308.0</v>
      </c>
      <c r="N299" s="5">
        <v>315.0</v>
      </c>
      <c r="O299" s="5">
        <v>1138.0</v>
      </c>
      <c r="P299" s="6">
        <v>44669.0</v>
      </c>
      <c r="Q299" s="3" t="s">
        <v>31</v>
      </c>
      <c r="R299" s="3" t="s">
        <v>29</v>
      </c>
      <c r="S299" s="5">
        <v>1613103.0</v>
      </c>
      <c r="T299" s="3"/>
      <c r="U299" s="3"/>
      <c r="V299" s="3"/>
      <c r="W299" s="3"/>
      <c r="X299" s="3"/>
    </row>
    <row r="300">
      <c r="A300" s="3" t="s">
        <v>652</v>
      </c>
      <c r="B300" s="3" t="s">
        <v>653</v>
      </c>
      <c r="C300" s="3" t="s">
        <v>21</v>
      </c>
      <c r="D300" s="3" t="s">
        <v>22</v>
      </c>
      <c r="E300" s="3" t="s">
        <v>629</v>
      </c>
      <c r="F300" s="3" t="s">
        <v>31</v>
      </c>
      <c r="G300" s="3" t="s">
        <v>29</v>
      </c>
      <c r="H300" s="3" t="s">
        <v>30</v>
      </c>
      <c r="I300" s="3" t="s">
        <v>25</v>
      </c>
      <c r="J300" s="3" t="s">
        <v>30</v>
      </c>
      <c r="K300" s="3" t="s">
        <v>25</v>
      </c>
      <c r="L300" s="5">
        <v>485.0</v>
      </c>
      <c r="M300" s="5">
        <v>321.0</v>
      </c>
      <c r="N300" s="5">
        <v>325.0</v>
      </c>
      <c r="O300" s="5">
        <v>1131.0</v>
      </c>
      <c r="P300" s="6">
        <v>44670.0</v>
      </c>
      <c r="Q300" s="3" t="s">
        <v>31</v>
      </c>
      <c r="R300" s="3" t="s">
        <v>29</v>
      </c>
      <c r="S300" s="5">
        <v>310764.0</v>
      </c>
      <c r="T300" s="3"/>
      <c r="U300" s="3"/>
      <c r="V300" s="3"/>
      <c r="W300" s="3"/>
      <c r="X300" s="3"/>
    </row>
    <row r="301">
      <c r="A301" s="3" t="s">
        <v>654</v>
      </c>
      <c r="B301" s="3" t="s">
        <v>655</v>
      </c>
      <c r="C301" s="3" t="s">
        <v>21</v>
      </c>
      <c r="D301" s="3" t="s">
        <v>59</v>
      </c>
      <c r="E301" s="3" t="s">
        <v>629</v>
      </c>
      <c r="F301" s="3" t="s">
        <v>28</v>
      </c>
      <c r="G301" s="3" t="s">
        <v>29</v>
      </c>
      <c r="H301" s="3" t="s">
        <v>30</v>
      </c>
      <c r="I301" s="3" t="s">
        <v>25</v>
      </c>
      <c r="J301" s="3" t="s">
        <v>30</v>
      </c>
      <c r="K301" s="3" t="s">
        <v>25</v>
      </c>
      <c r="L301" s="5">
        <v>500.0</v>
      </c>
      <c r="M301" s="5">
        <v>324.0</v>
      </c>
      <c r="N301" s="5">
        <v>305.0</v>
      </c>
      <c r="O301" s="5">
        <v>1129.0</v>
      </c>
      <c r="P301" s="6">
        <v>44667.0</v>
      </c>
      <c r="Q301" s="3" t="s">
        <v>31</v>
      </c>
      <c r="R301" s="3" t="s">
        <v>29</v>
      </c>
      <c r="S301" s="5">
        <v>815094.0</v>
      </c>
      <c r="T301" s="3"/>
      <c r="U301" s="3"/>
      <c r="V301" s="3"/>
      <c r="W301" s="3"/>
      <c r="X301" s="3"/>
    </row>
    <row r="302">
      <c r="A302" s="3" t="s">
        <v>656</v>
      </c>
      <c r="B302" s="3" t="s">
        <v>657</v>
      </c>
      <c r="C302" s="3" t="s">
        <v>21</v>
      </c>
      <c r="D302" s="3" t="s">
        <v>22</v>
      </c>
      <c r="E302" s="3" t="s">
        <v>629</v>
      </c>
      <c r="F302" s="3" t="s">
        <v>28</v>
      </c>
      <c r="G302" s="3" t="s">
        <v>29</v>
      </c>
      <c r="H302" s="3" t="s">
        <v>30</v>
      </c>
      <c r="I302" s="3" t="s">
        <v>25</v>
      </c>
      <c r="J302" s="3" t="s">
        <v>30</v>
      </c>
      <c r="K302" s="3" t="s">
        <v>25</v>
      </c>
      <c r="L302" s="5">
        <v>515.0</v>
      </c>
      <c r="M302" s="5">
        <v>305.0</v>
      </c>
      <c r="N302" s="5">
        <v>305.0</v>
      </c>
      <c r="O302" s="5">
        <v>1125.0</v>
      </c>
      <c r="P302" s="6">
        <v>44667.0</v>
      </c>
      <c r="Q302" s="3" t="s">
        <v>31</v>
      </c>
      <c r="R302" s="3" t="s">
        <v>29</v>
      </c>
      <c r="S302" s="5">
        <v>1800.0</v>
      </c>
      <c r="T302" s="3"/>
      <c r="U302" s="3"/>
      <c r="V302" s="3"/>
      <c r="W302" s="3"/>
      <c r="X302" s="3"/>
    </row>
    <row r="303">
      <c r="A303" s="3" t="s">
        <v>658</v>
      </c>
      <c r="B303" s="3" t="s">
        <v>659</v>
      </c>
      <c r="C303" s="3" t="s">
        <v>21</v>
      </c>
      <c r="D303" s="3" t="s">
        <v>22</v>
      </c>
      <c r="E303" s="3" t="s">
        <v>629</v>
      </c>
      <c r="F303" s="3" t="s">
        <v>28</v>
      </c>
      <c r="G303" s="3" t="s">
        <v>29</v>
      </c>
      <c r="H303" s="3" t="s">
        <v>30</v>
      </c>
      <c r="I303" s="3" t="s">
        <v>25</v>
      </c>
      <c r="J303" s="3" t="s">
        <v>30</v>
      </c>
      <c r="K303" s="3" t="s">
        <v>25</v>
      </c>
      <c r="L303" s="5">
        <v>505.0</v>
      </c>
      <c r="M303" s="5">
        <v>300.0</v>
      </c>
      <c r="N303" s="5">
        <v>315.0</v>
      </c>
      <c r="O303" s="5">
        <v>1120.0</v>
      </c>
      <c r="P303" s="6">
        <v>44667.0</v>
      </c>
      <c r="Q303" s="3" t="s">
        <v>31</v>
      </c>
      <c r="R303" s="3" t="s">
        <v>29</v>
      </c>
      <c r="S303" s="5">
        <v>1140859.0</v>
      </c>
      <c r="T303" s="3"/>
      <c r="U303" s="3"/>
      <c r="V303" s="3"/>
      <c r="W303" s="3"/>
      <c r="X303" s="3"/>
    </row>
    <row r="304">
      <c r="A304" s="3" t="s">
        <v>660</v>
      </c>
      <c r="B304" s="3" t="s">
        <v>661</v>
      </c>
      <c r="C304" s="3" t="s">
        <v>21</v>
      </c>
      <c r="D304" s="3" t="s">
        <v>22</v>
      </c>
      <c r="E304" s="3" t="s">
        <v>629</v>
      </c>
      <c r="F304" s="3" t="s">
        <v>28</v>
      </c>
      <c r="G304" s="3" t="s">
        <v>29</v>
      </c>
      <c r="H304" s="3" t="s">
        <v>30</v>
      </c>
      <c r="I304" s="3" t="s">
        <v>25</v>
      </c>
      <c r="J304" s="3" t="s">
        <v>30</v>
      </c>
      <c r="K304" s="3" t="s">
        <v>25</v>
      </c>
      <c r="L304" s="5">
        <v>505.0</v>
      </c>
      <c r="M304" s="5">
        <v>300.0</v>
      </c>
      <c r="N304" s="5">
        <v>315.0</v>
      </c>
      <c r="O304" s="5">
        <v>1120.0</v>
      </c>
      <c r="P304" s="6">
        <v>44667.0</v>
      </c>
      <c r="Q304" s="3" t="s">
        <v>31</v>
      </c>
      <c r="R304" s="3" t="s">
        <v>29</v>
      </c>
      <c r="S304" s="5">
        <v>721371.0</v>
      </c>
      <c r="T304" s="3"/>
      <c r="U304" s="3"/>
      <c r="V304" s="3"/>
      <c r="W304" s="3"/>
      <c r="X304" s="3"/>
    </row>
    <row r="305">
      <c r="A305" s="3" t="s">
        <v>662</v>
      </c>
      <c r="B305" s="3" t="s">
        <v>663</v>
      </c>
      <c r="C305" s="3" t="s">
        <v>21</v>
      </c>
      <c r="D305" s="3" t="s">
        <v>22</v>
      </c>
      <c r="E305" s="3" t="s">
        <v>629</v>
      </c>
      <c r="F305" s="3" t="s">
        <v>28</v>
      </c>
      <c r="G305" s="3" t="s">
        <v>29</v>
      </c>
      <c r="H305" s="3" t="s">
        <v>30</v>
      </c>
      <c r="I305" s="3" t="s">
        <v>25</v>
      </c>
      <c r="J305" s="3" t="s">
        <v>30</v>
      </c>
      <c r="K305" s="3" t="s">
        <v>25</v>
      </c>
      <c r="L305" s="5">
        <v>500.0</v>
      </c>
      <c r="M305" s="5">
        <v>316.0</v>
      </c>
      <c r="N305" s="5">
        <v>300.0</v>
      </c>
      <c r="O305" s="5">
        <v>1116.0</v>
      </c>
      <c r="P305" s="6">
        <v>44667.0</v>
      </c>
      <c r="Q305" s="3" t="s">
        <v>31</v>
      </c>
      <c r="R305" s="3" t="s">
        <v>29</v>
      </c>
      <c r="S305" s="5">
        <v>10456.0</v>
      </c>
      <c r="T305" s="3"/>
      <c r="U305" s="3"/>
      <c r="V305" s="3"/>
      <c r="W305" s="3"/>
      <c r="X305" s="3"/>
    </row>
    <row r="306">
      <c r="A306" s="3" t="s">
        <v>664</v>
      </c>
      <c r="B306" s="3" t="s">
        <v>665</v>
      </c>
      <c r="C306" s="3" t="s">
        <v>21</v>
      </c>
      <c r="D306" s="3" t="s">
        <v>22</v>
      </c>
      <c r="E306" s="3" t="s">
        <v>629</v>
      </c>
      <c r="F306" s="3" t="s">
        <v>28</v>
      </c>
      <c r="G306" s="3" t="s">
        <v>29</v>
      </c>
      <c r="H306" s="3" t="s">
        <v>30</v>
      </c>
      <c r="I306" s="3" t="s">
        <v>25</v>
      </c>
      <c r="J306" s="3" t="s">
        <v>30</v>
      </c>
      <c r="K306" s="3" t="s">
        <v>25</v>
      </c>
      <c r="L306" s="5">
        <v>510.0</v>
      </c>
      <c r="M306" s="5">
        <v>301.0</v>
      </c>
      <c r="N306" s="5">
        <v>305.0</v>
      </c>
      <c r="O306" s="5">
        <v>1116.0</v>
      </c>
      <c r="P306" s="6">
        <v>44670.0</v>
      </c>
      <c r="Q306" s="3" t="s">
        <v>31</v>
      </c>
      <c r="R306" s="3" t="s">
        <v>29</v>
      </c>
      <c r="S306" s="5">
        <v>1757898.0</v>
      </c>
      <c r="T306" s="3"/>
      <c r="U306" s="3"/>
      <c r="V306" s="3"/>
      <c r="W306" s="3"/>
      <c r="X306" s="3"/>
    </row>
    <row r="307">
      <c r="A307" s="3" t="s">
        <v>666</v>
      </c>
      <c r="B307" s="3" t="s">
        <v>667</v>
      </c>
      <c r="C307" s="3" t="s">
        <v>21</v>
      </c>
      <c r="D307" s="3" t="s">
        <v>22</v>
      </c>
      <c r="E307" s="3" t="s">
        <v>629</v>
      </c>
      <c r="F307" s="3" t="s">
        <v>28</v>
      </c>
      <c r="G307" s="3" t="s">
        <v>29</v>
      </c>
      <c r="H307" s="3" t="s">
        <v>30</v>
      </c>
      <c r="I307" s="3" t="s">
        <v>25</v>
      </c>
      <c r="J307" s="3" t="s">
        <v>30</v>
      </c>
      <c r="K307" s="3" t="s">
        <v>25</v>
      </c>
      <c r="L307" s="5">
        <v>500.0</v>
      </c>
      <c r="M307" s="5">
        <v>303.0</v>
      </c>
      <c r="N307" s="5">
        <v>310.0</v>
      </c>
      <c r="O307" s="5">
        <v>1113.0</v>
      </c>
      <c r="P307" s="6">
        <v>44669.0</v>
      </c>
      <c r="Q307" s="3" t="s">
        <v>31</v>
      </c>
      <c r="R307" s="3" t="s">
        <v>29</v>
      </c>
      <c r="S307" s="5">
        <v>927653.0</v>
      </c>
      <c r="T307" s="3"/>
      <c r="U307" s="3"/>
      <c r="V307" s="3"/>
      <c r="W307" s="3"/>
      <c r="X307" s="3"/>
    </row>
    <row r="308">
      <c r="A308" s="3" t="s">
        <v>668</v>
      </c>
      <c r="B308" s="3" t="s">
        <v>669</v>
      </c>
      <c r="C308" s="3" t="s">
        <v>21</v>
      </c>
      <c r="D308" s="3" t="s">
        <v>59</v>
      </c>
      <c r="E308" s="3" t="s">
        <v>629</v>
      </c>
      <c r="F308" s="3" t="s">
        <v>31</v>
      </c>
      <c r="G308" s="3" t="s">
        <v>29</v>
      </c>
      <c r="H308" s="3" t="s">
        <v>30</v>
      </c>
      <c r="I308" s="3" t="s">
        <v>25</v>
      </c>
      <c r="J308" s="3" t="s">
        <v>30</v>
      </c>
      <c r="K308" s="3" t="s">
        <v>25</v>
      </c>
      <c r="L308" s="5">
        <v>455.0</v>
      </c>
      <c r="M308" s="5">
        <v>347.0</v>
      </c>
      <c r="N308" s="5">
        <v>300.0</v>
      </c>
      <c r="O308" s="5">
        <v>1102.0</v>
      </c>
      <c r="P308" s="6">
        <v>44672.0</v>
      </c>
      <c r="Q308" s="3" t="s">
        <v>31</v>
      </c>
      <c r="R308" s="3" t="s">
        <v>29</v>
      </c>
      <c r="S308" s="5">
        <v>1776197.0</v>
      </c>
      <c r="T308" s="3"/>
      <c r="U308" s="3"/>
      <c r="V308" s="3"/>
      <c r="W308" s="3"/>
      <c r="X308" s="3"/>
    </row>
    <row r="309">
      <c r="A309" s="3" t="s">
        <v>670</v>
      </c>
      <c r="B309" s="3" t="s">
        <v>671</v>
      </c>
      <c r="C309" s="3" t="s">
        <v>21</v>
      </c>
      <c r="D309" s="3" t="s">
        <v>22</v>
      </c>
      <c r="E309" s="3" t="s">
        <v>629</v>
      </c>
      <c r="F309" s="3" t="s">
        <v>28</v>
      </c>
      <c r="G309" s="3" t="s">
        <v>29</v>
      </c>
      <c r="H309" s="3" t="s">
        <v>30</v>
      </c>
      <c r="I309" s="3" t="s">
        <v>25</v>
      </c>
      <c r="J309" s="3" t="s">
        <v>30</v>
      </c>
      <c r="K309" s="3" t="s">
        <v>25</v>
      </c>
      <c r="L309" s="5">
        <v>500.0</v>
      </c>
      <c r="M309" s="5">
        <v>300.0</v>
      </c>
      <c r="N309" s="5">
        <v>300.0</v>
      </c>
      <c r="O309" s="5">
        <v>1100.0</v>
      </c>
      <c r="P309" s="6">
        <v>44670.0</v>
      </c>
      <c r="Q309" s="3" t="s">
        <v>31</v>
      </c>
      <c r="R309" s="3" t="s">
        <v>29</v>
      </c>
      <c r="S309" s="5">
        <v>731766.0</v>
      </c>
      <c r="T309" s="3"/>
      <c r="U309" s="3"/>
      <c r="V309" s="3"/>
      <c r="W309" s="3"/>
      <c r="X309" s="3"/>
    </row>
    <row r="310">
      <c r="A310" s="3" t="s">
        <v>672</v>
      </c>
      <c r="B310" s="3" t="s">
        <v>673</v>
      </c>
      <c r="C310" s="3" t="s">
        <v>21</v>
      </c>
      <c r="D310" s="3" t="s">
        <v>22</v>
      </c>
      <c r="E310" s="3" t="s">
        <v>629</v>
      </c>
      <c r="F310" s="3" t="s">
        <v>28</v>
      </c>
      <c r="G310" s="3" t="s">
        <v>29</v>
      </c>
      <c r="H310" s="3" t="s">
        <v>30</v>
      </c>
      <c r="I310" s="3" t="s">
        <v>25</v>
      </c>
      <c r="J310" s="3" t="s">
        <v>30</v>
      </c>
      <c r="K310" s="3" t="s">
        <v>25</v>
      </c>
      <c r="L310" s="5">
        <v>500.0</v>
      </c>
      <c r="M310" s="5">
        <v>300.0</v>
      </c>
      <c r="N310" s="5">
        <v>300.0</v>
      </c>
      <c r="O310" s="5">
        <v>1100.0</v>
      </c>
      <c r="P310" s="6">
        <v>44667.0</v>
      </c>
      <c r="Q310" s="3" t="s">
        <v>31</v>
      </c>
      <c r="R310" s="3" t="s">
        <v>29</v>
      </c>
      <c r="S310" s="5">
        <v>711404.0</v>
      </c>
      <c r="T310" s="3"/>
      <c r="U310" s="3"/>
      <c r="V310" s="3"/>
      <c r="W310" s="3"/>
      <c r="X310" s="3"/>
    </row>
    <row r="311">
      <c r="A311" s="3" t="s">
        <v>674</v>
      </c>
      <c r="B311" s="3" t="s">
        <v>675</v>
      </c>
      <c r="C311" s="3" t="s">
        <v>21</v>
      </c>
      <c r="D311" s="3" t="s">
        <v>22</v>
      </c>
      <c r="E311" s="3" t="s">
        <v>629</v>
      </c>
      <c r="F311" s="3" t="s">
        <v>31</v>
      </c>
      <c r="G311" s="3" t="s">
        <v>29</v>
      </c>
      <c r="H311" s="3" t="s">
        <v>30</v>
      </c>
      <c r="I311" s="3" t="s">
        <v>25</v>
      </c>
      <c r="J311" s="3" t="s">
        <v>30</v>
      </c>
      <c r="K311" s="3" t="s">
        <v>25</v>
      </c>
      <c r="L311" s="5">
        <v>462.0</v>
      </c>
      <c r="M311" s="5">
        <v>300.0</v>
      </c>
      <c r="N311" s="5">
        <v>300.0</v>
      </c>
      <c r="O311" s="5">
        <v>1062.0</v>
      </c>
      <c r="P311" s="6">
        <v>44668.0</v>
      </c>
      <c r="Q311" s="3" t="s">
        <v>31</v>
      </c>
      <c r="R311" s="3" t="s">
        <v>29</v>
      </c>
      <c r="S311" s="5">
        <v>49071.0</v>
      </c>
      <c r="T311" s="3"/>
      <c r="U311" s="3"/>
      <c r="V311" s="3"/>
      <c r="W311" s="3"/>
      <c r="X311" s="3"/>
    </row>
    <row r="312">
      <c r="A312" s="3" t="s">
        <v>676</v>
      </c>
      <c r="B312" s="3" t="s">
        <v>677</v>
      </c>
      <c r="C312" s="3" t="s">
        <v>21</v>
      </c>
      <c r="D312" s="3" t="s">
        <v>22</v>
      </c>
      <c r="E312" s="3" t="s">
        <v>629</v>
      </c>
      <c r="F312" s="3" t="s">
        <v>31</v>
      </c>
      <c r="G312" s="3" t="s">
        <v>29</v>
      </c>
      <c r="H312" s="3" t="s">
        <v>30</v>
      </c>
      <c r="I312" s="3" t="s">
        <v>25</v>
      </c>
      <c r="J312" s="3" t="s">
        <v>30</v>
      </c>
      <c r="K312" s="3" t="s">
        <v>25</v>
      </c>
      <c r="L312" s="5">
        <v>448.0</v>
      </c>
      <c r="M312" s="5">
        <v>303.0</v>
      </c>
      <c r="N312" s="5">
        <v>305.0</v>
      </c>
      <c r="O312" s="5">
        <v>1056.0</v>
      </c>
      <c r="P312" s="6">
        <v>44872.0</v>
      </c>
      <c r="Q312" s="3" t="s">
        <v>31</v>
      </c>
      <c r="R312" s="3" t="s">
        <v>29</v>
      </c>
      <c r="S312" s="5">
        <v>313143.0</v>
      </c>
      <c r="T312" s="3"/>
      <c r="U312" s="3"/>
      <c r="V312" s="3"/>
      <c r="W312" s="3"/>
      <c r="X312" s="3"/>
    </row>
    <row r="313">
      <c r="A313" s="3" t="s">
        <v>678</v>
      </c>
      <c r="B313" s="3" t="s">
        <v>679</v>
      </c>
      <c r="C313" s="3" t="s">
        <v>21</v>
      </c>
      <c r="D313" s="3" t="s">
        <v>22</v>
      </c>
      <c r="E313" s="3" t="s">
        <v>629</v>
      </c>
      <c r="F313" s="3" t="s">
        <v>31</v>
      </c>
      <c r="G313" s="3" t="s">
        <v>29</v>
      </c>
      <c r="H313" s="3" t="s">
        <v>30</v>
      </c>
      <c r="I313" s="3" t="s">
        <v>25</v>
      </c>
      <c r="J313" s="3" t="s">
        <v>24</v>
      </c>
      <c r="K313" s="3" t="s">
        <v>25</v>
      </c>
      <c r="L313" s="5">
        <v>441.0</v>
      </c>
      <c r="M313" s="5">
        <v>300.0</v>
      </c>
      <c r="N313" s="5">
        <v>270.0</v>
      </c>
      <c r="O313" s="5">
        <v>1011.0</v>
      </c>
      <c r="P313" s="6">
        <v>44872.0</v>
      </c>
      <c r="Q313" s="3" t="s">
        <v>31</v>
      </c>
      <c r="R313" s="3" t="s">
        <v>29</v>
      </c>
      <c r="S313" s="5">
        <v>816956.0</v>
      </c>
      <c r="T313" s="3"/>
      <c r="U313" s="3"/>
      <c r="V313" s="3"/>
      <c r="W313" s="3"/>
      <c r="X313" s="3"/>
    </row>
    <row r="314">
      <c r="A314" s="3" t="s">
        <v>680</v>
      </c>
      <c r="B314" s="3" t="s">
        <v>681</v>
      </c>
      <c r="C314" s="3" t="s">
        <v>21</v>
      </c>
      <c r="D314" s="3" t="s">
        <v>22</v>
      </c>
      <c r="E314" s="3" t="s">
        <v>629</v>
      </c>
      <c r="F314" s="3" t="s">
        <v>30</v>
      </c>
      <c r="G314" s="3" t="s">
        <v>25</v>
      </c>
      <c r="H314" s="3" t="s">
        <v>30</v>
      </c>
      <c r="I314" s="3" t="s">
        <v>25</v>
      </c>
      <c r="J314" s="3" t="s">
        <v>30</v>
      </c>
      <c r="K314" s="3" t="s">
        <v>25</v>
      </c>
      <c r="L314" s="5">
        <v>330.0</v>
      </c>
      <c r="M314" s="5">
        <v>312.0</v>
      </c>
      <c r="N314" s="5">
        <v>300.0</v>
      </c>
      <c r="O314" s="5">
        <v>942.0</v>
      </c>
      <c r="P314" s="6">
        <v>44670.0</v>
      </c>
      <c r="Q314" s="3" t="s">
        <v>31</v>
      </c>
      <c r="R314" s="3" t="s">
        <v>29</v>
      </c>
      <c r="S314" s="5">
        <v>943819.0</v>
      </c>
      <c r="T314" s="3"/>
      <c r="U314" s="3"/>
      <c r="V314" s="3"/>
      <c r="W314" s="3"/>
      <c r="X314" s="3"/>
    </row>
    <row r="315">
      <c r="A315" s="3" t="s">
        <v>682</v>
      </c>
      <c r="B315" s="3" t="s">
        <v>683</v>
      </c>
      <c r="C315" s="3" t="s">
        <v>21</v>
      </c>
      <c r="D315" s="3" t="s">
        <v>22</v>
      </c>
      <c r="E315" s="3" t="s">
        <v>629</v>
      </c>
      <c r="F315" s="3" t="s">
        <v>24</v>
      </c>
      <c r="G315" s="3" t="s">
        <v>25</v>
      </c>
      <c r="H315" s="3" t="s">
        <v>30</v>
      </c>
      <c r="I315" s="3" t="s">
        <v>25</v>
      </c>
      <c r="J315" s="3" t="s">
        <v>30</v>
      </c>
      <c r="K315" s="3" t="s">
        <v>25</v>
      </c>
      <c r="L315" s="5">
        <v>290.0</v>
      </c>
      <c r="M315" s="5">
        <v>333.0</v>
      </c>
      <c r="N315" s="5">
        <v>305.0</v>
      </c>
      <c r="O315" s="5">
        <v>928.0</v>
      </c>
      <c r="P315" s="6">
        <v>44668.0</v>
      </c>
      <c r="Q315" s="3" t="s">
        <v>31</v>
      </c>
      <c r="R315" s="3" t="s">
        <v>29</v>
      </c>
      <c r="S315" s="5">
        <v>1099800.0</v>
      </c>
      <c r="T315" s="3"/>
      <c r="U315" s="3"/>
      <c r="V315" s="3"/>
      <c r="W315" s="3"/>
      <c r="X315" s="3"/>
    </row>
    <row r="316">
      <c r="A316" s="3" t="s">
        <v>684</v>
      </c>
      <c r="B316" s="3" t="s">
        <v>685</v>
      </c>
      <c r="C316" s="3" t="s">
        <v>21</v>
      </c>
      <c r="D316" s="3" t="s">
        <v>22</v>
      </c>
      <c r="E316" s="3" t="s">
        <v>629</v>
      </c>
      <c r="F316" s="3" t="s">
        <v>24</v>
      </c>
      <c r="G316" s="3" t="s">
        <v>25</v>
      </c>
      <c r="H316" s="3" t="s">
        <v>30</v>
      </c>
      <c r="I316" s="3" t="s">
        <v>25</v>
      </c>
      <c r="J316" s="3" t="s">
        <v>30</v>
      </c>
      <c r="K316" s="3" t="s">
        <v>25</v>
      </c>
      <c r="L316" s="5">
        <v>260.0</v>
      </c>
      <c r="M316" s="5">
        <v>332.0</v>
      </c>
      <c r="N316" s="5">
        <v>300.0</v>
      </c>
      <c r="O316" s="5">
        <v>892.0</v>
      </c>
      <c r="P316" s="6">
        <v>44668.0</v>
      </c>
      <c r="Q316" s="3" t="s">
        <v>30</v>
      </c>
      <c r="R316" s="3" t="s">
        <v>25</v>
      </c>
      <c r="S316" s="5">
        <v>927066.0</v>
      </c>
      <c r="T316" s="3"/>
      <c r="U316" s="3"/>
      <c r="V316" s="3"/>
      <c r="W316" s="3"/>
      <c r="X316" s="3"/>
    </row>
    <row r="317">
      <c r="A317" s="3" t="s">
        <v>686</v>
      </c>
      <c r="B317" s="3" t="s">
        <v>687</v>
      </c>
      <c r="C317" s="3" t="s">
        <v>21</v>
      </c>
      <c r="D317" s="3" t="s">
        <v>59</v>
      </c>
      <c r="E317" s="3" t="s">
        <v>629</v>
      </c>
      <c r="F317" s="3" t="s">
        <v>24</v>
      </c>
      <c r="G317" s="3" t="s">
        <v>25</v>
      </c>
      <c r="H317" s="3" t="s">
        <v>24</v>
      </c>
      <c r="I317" s="3" t="s">
        <v>25</v>
      </c>
      <c r="J317" s="3" t="s">
        <v>24</v>
      </c>
      <c r="K317" s="3" t="s">
        <v>25</v>
      </c>
      <c r="L317" s="5">
        <v>278.0</v>
      </c>
      <c r="M317" s="5">
        <v>297.0</v>
      </c>
      <c r="N317" s="5">
        <v>220.0</v>
      </c>
      <c r="O317" s="5">
        <v>795.0</v>
      </c>
      <c r="P317" s="6">
        <v>44722.0</v>
      </c>
      <c r="Q317" s="3" t="s">
        <v>30</v>
      </c>
      <c r="R317" s="3" t="s">
        <v>25</v>
      </c>
      <c r="S317" s="5">
        <v>1446159.0</v>
      </c>
      <c r="T317" s="3"/>
      <c r="U317" s="3"/>
      <c r="V317" s="3"/>
      <c r="W317" s="3"/>
      <c r="X317" s="3"/>
    </row>
    <row r="318">
      <c r="A318" s="3" t="s">
        <v>688</v>
      </c>
      <c r="B318" s="3" t="s">
        <v>689</v>
      </c>
      <c r="C318" s="3" t="s">
        <v>21</v>
      </c>
      <c r="D318" s="3" t="s">
        <v>59</v>
      </c>
      <c r="E318" s="3" t="s">
        <v>629</v>
      </c>
      <c r="F318" s="3" t="s">
        <v>30</v>
      </c>
      <c r="G318" s="3" t="s">
        <v>25</v>
      </c>
      <c r="H318" s="3" t="s">
        <v>24</v>
      </c>
      <c r="I318" s="3" t="s">
        <v>25</v>
      </c>
      <c r="J318" s="3" t="s">
        <v>24</v>
      </c>
      <c r="K318" s="3" t="s">
        <v>25</v>
      </c>
      <c r="L318" s="5">
        <v>330.0</v>
      </c>
      <c r="M318" s="5">
        <v>231.0</v>
      </c>
      <c r="N318" s="5">
        <v>220.0</v>
      </c>
      <c r="O318" s="5">
        <v>781.0</v>
      </c>
      <c r="P318" s="6">
        <v>44667.0</v>
      </c>
      <c r="Q318" s="3" t="s">
        <v>30</v>
      </c>
      <c r="R318" s="3" t="s">
        <v>25</v>
      </c>
      <c r="S318" s="5">
        <v>1520697.0</v>
      </c>
      <c r="T318" s="3"/>
      <c r="U318" s="3"/>
      <c r="V318" s="3"/>
      <c r="W318" s="3"/>
      <c r="X318" s="3"/>
    </row>
    <row r="319">
      <c r="A319" s="3" t="s">
        <v>690</v>
      </c>
      <c r="B319" s="3" t="s">
        <v>691</v>
      </c>
      <c r="C319" s="3" t="s">
        <v>21</v>
      </c>
      <c r="D319" s="3" t="s">
        <v>59</v>
      </c>
      <c r="E319" s="3" t="s">
        <v>629</v>
      </c>
      <c r="F319" s="3" t="s">
        <v>24</v>
      </c>
      <c r="G319" s="3" t="s">
        <v>25</v>
      </c>
      <c r="H319" s="3" t="s">
        <v>24</v>
      </c>
      <c r="I319" s="3" t="s">
        <v>25</v>
      </c>
      <c r="J319" s="3" t="s">
        <v>30</v>
      </c>
      <c r="K319" s="3" t="s">
        <v>25</v>
      </c>
      <c r="L319" s="5">
        <v>200.0</v>
      </c>
      <c r="M319" s="5">
        <v>262.0</v>
      </c>
      <c r="N319" s="5">
        <v>315.0</v>
      </c>
      <c r="O319" s="5">
        <v>777.0</v>
      </c>
      <c r="P319" s="6">
        <v>44667.0</v>
      </c>
      <c r="Q319" s="3" t="s">
        <v>30</v>
      </c>
      <c r="R319" s="3" t="s">
        <v>25</v>
      </c>
      <c r="S319" s="5">
        <v>882291.0</v>
      </c>
      <c r="T319" s="3"/>
      <c r="U319" s="3"/>
      <c r="V319" s="3"/>
      <c r="W319" s="3"/>
      <c r="X319" s="3"/>
    </row>
    <row r="320">
      <c r="A320" s="3" t="s">
        <v>692</v>
      </c>
      <c r="B320" s="3" t="s">
        <v>693</v>
      </c>
      <c r="C320" s="3" t="s">
        <v>21</v>
      </c>
      <c r="D320" s="3" t="s">
        <v>59</v>
      </c>
      <c r="E320" s="3" t="s">
        <v>629</v>
      </c>
      <c r="F320" s="3" t="s">
        <v>24</v>
      </c>
      <c r="G320" s="3" t="s">
        <v>25</v>
      </c>
      <c r="H320" s="3" t="s">
        <v>24</v>
      </c>
      <c r="I320" s="3" t="s">
        <v>25</v>
      </c>
      <c r="J320" s="3" t="s">
        <v>24</v>
      </c>
      <c r="K320" s="3" t="s">
        <v>25</v>
      </c>
      <c r="L320" s="5">
        <v>235.0</v>
      </c>
      <c r="M320" s="5">
        <v>285.0</v>
      </c>
      <c r="N320" s="5">
        <v>255.0</v>
      </c>
      <c r="O320" s="5">
        <v>775.0</v>
      </c>
      <c r="P320" s="6">
        <v>44667.0</v>
      </c>
      <c r="Q320" s="3" t="s">
        <v>30</v>
      </c>
      <c r="R320" s="3" t="s">
        <v>25</v>
      </c>
      <c r="S320" s="5">
        <v>1097149.0</v>
      </c>
      <c r="T320" s="3"/>
      <c r="U320" s="3"/>
      <c r="V320" s="3"/>
      <c r="W320" s="3"/>
      <c r="X320" s="3"/>
    </row>
    <row r="321">
      <c r="A321" s="3" t="s">
        <v>694</v>
      </c>
      <c r="B321" s="3" t="s">
        <v>695</v>
      </c>
      <c r="C321" s="3" t="s">
        <v>84</v>
      </c>
      <c r="D321" s="3" t="s">
        <v>59</v>
      </c>
      <c r="E321" s="3" t="s">
        <v>629</v>
      </c>
      <c r="F321" s="3" t="s">
        <v>24</v>
      </c>
      <c r="G321" s="3" t="s">
        <v>25</v>
      </c>
      <c r="H321" s="3" t="s">
        <v>24</v>
      </c>
      <c r="I321" s="3" t="s">
        <v>25</v>
      </c>
      <c r="J321" s="3" t="s">
        <v>30</v>
      </c>
      <c r="K321" s="3" t="s">
        <v>25</v>
      </c>
      <c r="L321" s="5">
        <v>220.0</v>
      </c>
      <c r="M321" s="5">
        <v>250.0</v>
      </c>
      <c r="N321" s="5">
        <v>300.0</v>
      </c>
      <c r="O321" s="5">
        <v>770.0</v>
      </c>
      <c r="P321" s="6">
        <v>44722.0</v>
      </c>
      <c r="Q321" s="3" t="s">
        <v>30</v>
      </c>
      <c r="R321" s="3" t="s">
        <v>25</v>
      </c>
      <c r="S321" s="5">
        <v>1757143.0</v>
      </c>
      <c r="T321" s="3"/>
      <c r="U321" s="3"/>
      <c r="V321" s="3"/>
      <c r="W321" s="3"/>
      <c r="X321" s="3"/>
    </row>
    <row r="322">
      <c r="A322" s="3" t="s">
        <v>696</v>
      </c>
      <c r="B322" s="3" t="s">
        <v>697</v>
      </c>
      <c r="C322" s="3" t="s">
        <v>21</v>
      </c>
      <c r="D322" s="3" t="s">
        <v>59</v>
      </c>
      <c r="E322" s="3" t="s">
        <v>629</v>
      </c>
      <c r="F322" s="3" t="s">
        <v>24</v>
      </c>
      <c r="G322" s="3" t="s">
        <v>25</v>
      </c>
      <c r="H322" s="3" t="s">
        <v>24</v>
      </c>
      <c r="I322" s="3" t="s">
        <v>25</v>
      </c>
      <c r="J322" s="3" t="s">
        <v>30</v>
      </c>
      <c r="K322" s="3" t="s">
        <v>25</v>
      </c>
      <c r="L322" s="5">
        <v>210.0</v>
      </c>
      <c r="M322" s="5">
        <v>228.0</v>
      </c>
      <c r="N322" s="5">
        <v>325.0</v>
      </c>
      <c r="O322" s="5">
        <v>763.0</v>
      </c>
      <c r="P322" s="6">
        <v>44667.0</v>
      </c>
      <c r="Q322" s="3" t="s">
        <v>30</v>
      </c>
      <c r="R322" s="3" t="s">
        <v>25</v>
      </c>
      <c r="S322" s="5">
        <v>874710.0</v>
      </c>
      <c r="T322" s="3"/>
      <c r="U322" s="3"/>
      <c r="V322" s="3"/>
      <c r="W322" s="3"/>
      <c r="X322" s="3"/>
    </row>
    <row r="323">
      <c r="A323" s="3" t="s">
        <v>698</v>
      </c>
      <c r="B323" s="3" t="s">
        <v>699</v>
      </c>
      <c r="C323" s="3" t="s">
        <v>21</v>
      </c>
      <c r="D323" s="3" t="s">
        <v>59</v>
      </c>
      <c r="E323" s="3" t="s">
        <v>629</v>
      </c>
      <c r="F323" s="3" t="s">
        <v>24</v>
      </c>
      <c r="G323" s="3" t="s">
        <v>25</v>
      </c>
      <c r="H323" s="3" t="s">
        <v>30</v>
      </c>
      <c r="I323" s="3" t="s">
        <v>25</v>
      </c>
      <c r="J323" s="3" t="s">
        <v>24</v>
      </c>
      <c r="K323" s="3" t="s">
        <v>25</v>
      </c>
      <c r="L323" s="5">
        <v>219.0</v>
      </c>
      <c r="M323" s="5">
        <v>308.0</v>
      </c>
      <c r="N323" s="5">
        <v>236.0</v>
      </c>
      <c r="O323" s="5">
        <v>763.0</v>
      </c>
      <c r="P323" s="6">
        <v>44670.0</v>
      </c>
      <c r="Q323" s="3" t="s">
        <v>30</v>
      </c>
      <c r="R323" s="3" t="s">
        <v>25</v>
      </c>
      <c r="S323" s="5">
        <v>1551693.0</v>
      </c>
      <c r="T323" s="3"/>
      <c r="U323" s="3"/>
      <c r="V323" s="3"/>
      <c r="W323" s="3"/>
      <c r="X323" s="3"/>
    </row>
    <row r="324">
      <c r="A324" s="3" t="s">
        <v>700</v>
      </c>
      <c r="B324" s="3" t="s">
        <v>701</v>
      </c>
      <c r="C324" s="3" t="s">
        <v>21</v>
      </c>
      <c r="D324" s="3" t="s">
        <v>59</v>
      </c>
      <c r="E324" s="3" t="s">
        <v>629</v>
      </c>
      <c r="F324" s="3" t="s">
        <v>24</v>
      </c>
      <c r="G324" s="3" t="s">
        <v>25</v>
      </c>
      <c r="H324" s="3" t="s">
        <v>30</v>
      </c>
      <c r="I324" s="3" t="s">
        <v>25</v>
      </c>
      <c r="J324" s="3" t="s">
        <v>24</v>
      </c>
      <c r="K324" s="3" t="s">
        <v>25</v>
      </c>
      <c r="L324" s="5">
        <v>245.0</v>
      </c>
      <c r="M324" s="5">
        <v>306.0</v>
      </c>
      <c r="N324" s="5">
        <v>200.0</v>
      </c>
      <c r="O324" s="5">
        <v>751.0</v>
      </c>
      <c r="P324" s="6">
        <v>44722.0</v>
      </c>
      <c r="Q324" s="3" t="s">
        <v>30</v>
      </c>
      <c r="R324" s="3" t="s">
        <v>25</v>
      </c>
      <c r="S324" s="5">
        <v>1766400.0</v>
      </c>
      <c r="T324" s="3"/>
      <c r="U324" s="3"/>
      <c r="V324" s="3"/>
      <c r="W324" s="3"/>
      <c r="X324" s="3"/>
    </row>
    <row r="325">
      <c r="A325" s="3" t="s">
        <v>702</v>
      </c>
      <c r="B325" s="3" t="s">
        <v>703</v>
      </c>
      <c r="C325" s="3" t="s">
        <v>21</v>
      </c>
      <c r="D325" s="3" t="s">
        <v>59</v>
      </c>
      <c r="E325" s="3" t="s">
        <v>629</v>
      </c>
      <c r="F325" s="3" t="s">
        <v>24</v>
      </c>
      <c r="G325" s="3" t="s">
        <v>25</v>
      </c>
      <c r="H325" s="3" t="s">
        <v>24</v>
      </c>
      <c r="I325" s="3" t="s">
        <v>25</v>
      </c>
      <c r="J325" s="3" t="s">
        <v>24</v>
      </c>
      <c r="K325" s="3" t="s">
        <v>25</v>
      </c>
      <c r="L325" s="5">
        <v>255.0</v>
      </c>
      <c r="M325" s="5">
        <v>254.0</v>
      </c>
      <c r="N325" s="5">
        <v>235.0</v>
      </c>
      <c r="O325" s="5">
        <v>744.0</v>
      </c>
      <c r="P325" s="6">
        <v>44722.0</v>
      </c>
      <c r="Q325" s="3" t="s">
        <v>24</v>
      </c>
      <c r="R325" s="3" t="s">
        <v>25</v>
      </c>
      <c r="S325" s="5">
        <v>1481646.0</v>
      </c>
      <c r="T325" s="3"/>
      <c r="U325" s="3"/>
      <c r="V325" s="3"/>
      <c r="W325" s="3"/>
      <c r="X325" s="3"/>
    </row>
    <row r="326">
      <c r="A326" s="3" t="s">
        <v>704</v>
      </c>
      <c r="B326" s="3" t="s">
        <v>705</v>
      </c>
      <c r="C326" s="3" t="s">
        <v>21</v>
      </c>
      <c r="D326" s="3" t="s">
        <v>22</v>
      </c>
      <c r="E326" s="3" t="s">
        <v>629</v>
      </c>
      <c r="F326" s="3" t="s">
        <v>24</v>
      </c>
      <c r="G326" s="3" t="s">
        <v>25</v>
      </c>
      <c r="H326" s="3" t="s">
        <v>30</v>
      </c>
      <c r="I326" s="3" t="s">
        <v>25</v>
      </c>
      <c r="J326" s="3" t="s">
        <v>24</v>
      </c>
      <c r="K326" s="3" t="s">
        <v>25</v>
      </c>
      <c r="L326" s="5">
        <v>230.0</v>
      </c>
      <c r="M326" s="5">
        <v>300.0</v>
      </c>
      <c r="N326" s="5">
        <v>205.0</v>
      </c>
      <c r="O326" s="5">
        <v>735.0</v>
      </c>
      <c r="P326" s="6">
        <v>44670.0</v>
      </c>
      <c r="Q326" s="3" t="s">
        <v>24</v>
      </c>
      <c r="R326" s="3" t="s">
        <v>25</v>
      </c>
      <c r="S326" s="5">
        <v>1022079.0</v>
      </c>
      <c r="T326" s="3"/>
      <c r="U326" s="3"/>
      <c r="V326" s="3"/>
      <c r="W326" s="3"/>
      <c r="X326" s="3"/>
    </row>
    <row r="327">
      <c r="A327" s="3" t="s">
        <v>706</v>
      </c>
      <c r="B327" s="3" t="s">
        <v>707</v>
      </c>
      <c r="C327" s="3" t="s">
        <v>21</v>
      </c>
      <c r="D327" s="3" t="s">
        <v>59</v>
      </c>
      <c r="E327" s="3" t="s">
        <v>629</v>
      </c>
      <c r="F327" s="3" t="s">
        <v>24</v>
      </c>
      <c r="G327" s="3" t="s">
        <v>25</v>
      </c>
      <c r="H327" s="3" t="s">
        <v>24</v>
      </c>
      <c r="I327" s="3" t="s">
        <v>25</v>
      </c>
      <c r="J327" s="3" t="s">
        <v>24</v>
      </c>
      <c r="K327" s="3" t="s">
        <v>25</v>
      </c>
      <c r="L327" s="5">
        <v>240.0</v>
      </c>
      <c r="M327" s="5">
        <v>236.0</v>
      </c>
      <c r="N327" s="5">
        <v>250.0</v>
      </c>
      <c r="O327" s="5">
        <v>726.0</v>
      </c>
      <c r="P327" s="6">
        <v>44873.0</v>
      </c>
      <c r="Q327" s="3" t="s">
        <v>24</v>
      </c>
      <c r="R327" s="3" t="s">
        <v>25</v>
      </c>
      <c r="S327" s="5">
        <v>706698.0</v>
      </c>
      <c r="T327" s="3"/>
      <c r="U327" s="3"/>
      <c r="V327" s="3"/>
      <c r="W327" s="3"/>
      <c r="X327" s="3"/>
    </row>
    <row r="328">
      <c r="A328" s="3" t="s">
        <v>708</v>
      </c>
      <c r="B328" s="3" t="s">
        <v>709</v>
      </c>
      <c r="C328" s="3" t="s">
        <v>21</v>
      </c>
      <c r="D328" s="3" t="s">
        <v>59</v>
      </c>
      <c r="E328" s="3" t="s">
        <v>629</v>
      </c>
      <c r="F328" s="3" t="s">
        <v>24</v>
      </c>
      <c r="G328" s="3" t="s">
        <v>25</v>
      </c>
      <c r="H328" s="3" t="s">
        <v>24</v>
      </c>
      <c r="I328" s="3" t="s">
        <v>25</v>
      </c>
      <c r="J328" s="3" t="s">
        <v>30</v>
      </c>
      <c r="K328" s="3" t="s">
        <v>25</v>
      </c>
      <c r="L328" s="5">
        <v>200.0</v>
      </c>
      <c r="M328" s="5">
        <v>224.0</v>
      </c>
      <c r="N328" s="5">
        <v>300.0</v>
      </c>
      <c r="O328" s="5">
        <v>724.0</v>
      </c>
      <c r="P328" s="6">
        <v>44723.0</v>
      </c>
      <c r="Q328" s="3" t="s">
        <v>24</v>
      </c>
      <c r="R328" s="3" t="s">
        <v>25</v>
      </c>
      <c r="S328" s="5">
        <v>1588978.0</v>
      </c>
      <c r="T328" s="3"/>
      <c r="U328" s="3"/>
      <c r="V328" s="3"/>
      <c r="W328" s="3"/>
      <c r="X328" s="3"/>
    </row>
    <row r="329">
      <c r="A329" s="3" t="s">
        <v>710</v>
      </c>
      <c r="B329" s="3" t="s">
        <v>711</v>
      </c>
      <c r="C329" s="3" t="s">
        <v>21</v>
      </c>
      <c r="D329" s="3" t="s">
        <v>59</v>
      </c>
      <c r="E329" s="3" t="s">
        <v>629</v>
      </c>
      <c r="F329" s="3" t="s">
        <v>24</v>
      </c>
      <c r="G329" s="3" t="s">
        <v>25</v>
      </c>
      <c r="H329" s="3" t="s">
        <v>24</v>
      </c>
      <c r="I329" s="3" t="s">
        <v>25</v>
      </c>
      <c r="J329" s="3" t="s">
        <v>24</v>
      </c>
      <c r="K329" s="3" t="s">
        <v>25</v>
      </c>
      <c r="L329" s="5">
        <v>215.0</v>
      </c>
      <c r="M329" s="5">
        <v>236.0</v>
      </c>
      <c r="N329" s="5">
        <v>215.0</v>
      </c>
      <c r="O329" s="5">
        <v>666.0</v>
      </c>
      <c r="P329" s="6">
        <v>44668.0</v>
      </c>
      <c r="Q329" s="3" t="s">
        <v>24</v>
      </c>
      <c r="R329" s="3" t="s">
        <v>25</v>
      </c>
      <c r="S329" s="5">
        <v>1093557.0</v>
      </c>
      <c r="T329" s="3"/>
      <c r="U329" s="3"/>
      <c r="V329" s="3"/>
      <c r="W329" s="3"/>
      <c r="X329" s="3"/>
    </row>
    <row r="330">
      <c r="A330" s="3" t="s">
        <v>712</v>
      </c>
      <c r="B330" s="3" t="s">
        <v>713</v>
      </c>
      <c r="C330" s="3" t="s">
        <v>21</v>
      </c>
      <c r="D330" s="3" t="s">
        <v>59</v>
      </c>
      <c r="E330" s="3" t="s">
        <v>629</v>
      </c>
      <c r="F330" s="3" t="s">
        <v>24</v>
      </c>
      <c r="G330" s="3" t="s">
        <v>25</v>
      </c>
      <c r="H330" s="3" t="s">
        <v>24</v>
      </c>
      <c r="I330" s="3" t="s">
        <v>25</v>
      </c>
      <c r="J330" s="3" t="s">
        <v>24</v>
      </c>
      <c r="K330" s="3" t="s">
        <v>25</v>
      </c>
      <c r="L330" s="5">
        <v>220.0</v>
      </c>
      <c r="M330" s="5">
        <v>228.0</v>
      </c>
      <c r="N330" s="5">
        <v>210.0</v>
      </c>
      <c r="O330" s="5">
        <v>658.0</v>
      </c>
      <c r="P330" s="6">
        <v>44722.0</v>
      </c>
      <c r="Q330" s="3" t="s">
        <v>24</v>
      </c>
      <c r="R330" s="3" t="s">
        <v>25</v>
      </c>
      <c r="S330" s="5">
        <v>1459839.0</v>
      </c>
      <c r="T330" s="3"/>
      <c r="U330" s="3"/>
      <c r="V330" s="3"/>
      <c r="W330" s="3"/>
      <c r="X330" s="3"/>
    </row>
    <row r="331">
      <c r="A331" s="3" t="s">
        <v>714</v>
      </c>
      <c r="B331" s="3" t="s">
        <v>715</v>
      </c>
      <c r="C331" s="3" t="s">
        <v>21</v>
      </c>
      <c r="D331" s="3" t="s">
        <v>59</v>
      </c>
      <c r="E331" s="3" t="s">
        <v>629</v>
      </c>
      <c r="F331" s="3" t="s">
        <v>24</v>
      </c>
      <c r="G331" s="3" t="s">
        <v>25</v>
      </c>
      <c r="H331" s="3" t="s">
        <v>24</v>
      </c>
      <c r="I331" s="3" t="s">
        <v>25</v>
      </c>
      <c r="J331" s="3" t="s">
        <v>24</v>
      </c>
      <c r="K331" s="3" t="s">
        <v>25</v>
      </c>
      <c r="L331" s="5">
        <v>210.0</v>
      </c>
      <c r="M331" s="5">
        <v>211.0</v>
      </c>
      <c r="N331" s="5">
        <v>235.0</v>
      </c>
      <c r="O331" s="5">
        <v>656.0</v>
      </c>
      <c r="P331" s="6">
        <v>44722.0</v>
      </c>
      <c r="Q331" s="3" t="s">
        <v>24</v>
      </c>
      <c r="R331" s="3" t="s">
        <v>25</v>
      </c>
      <c r="S331" s="5">
        <v>1725255.0</v>
      </c>
      <c r="T331" s="3"/>
      <c r="U331" s="3"/>
      <c r="V331" s="3"/>
      <c r="W331" s="3"/>
      <c r="X331" s="3"/>
    </row>
    <row r="332">
      <c r="A332" s="3" t="s">
        <v>716</v>
      </c>
      <c r="B332" s="3" t="s">
        <v>717</v>
      </c>
      <c r="C332" s="3" t="s">
        <v>21</v>
      </c>
      <c r="D332" s="3" t="s">
        <v>59</v>
      </c>
      <c r="E332" s="3" t="s">
        <v>629</v>
      </c>
      <c r="F332" s="3" t="s">
        <v>24</v>
      </c>
      <c r="G332" s="3" t="s">
        <v>25</v>
      </c>
      <c r="H332" s="3" t="s">
        <v>24</v>
      </c>
      <c r="I332" s="3" t="s">
        <v>25</v>
      </c>
      <c r="J332" s="3" t="s">
        <v>24</v>
      </c>
      <c r="K332" s="3" t="s">
        <v>25</v>
      </c>
      <c r="L332" s="5">
        <v>215.0</v>
      </c>
      <c r="M332" s="5">
        <v>233.0</v>
      </c>
      <c r="N332" s="5">
        <v>205.0</v>
      </c>
      <c r="O332" s="5">
        <v>653.0</v>
      </c>
      <c r="P332" s="6">
        <v>44872.0</v>
      </c>
      <c r="Q332" s="3" t="s">
        <v>24</v>
      </c>
      <c r="R332" s="3" t="s">
        <v>25</v>
      </c>
      <c r="S332" s="5">
        <v>1145197.0</v>
      </c>
      <c r="T332" s="3"/>
      <c r="U332" s="3"/>
      <c r="V332" s="3"/>
      <c r="W332" s="3"/>
      <c r="X332" s="3"/>
    </row>
    <row r="333">
      <c r="A333" s="3" t="s">
        <v>718</v>
      </c>
      <c r="B333" s="3" t="s">
        <v>719</v>
      </c>
      <c r="C333" s="3" t="s">
        <v>21</v>
      </c>
      <c r="D333" s="3" t="s">
        <v>59</v>
      </c>
      <c r="E333" s="3" t="s">
        <v>629</v>
      </c>
      <c r="F333" s="3" t="s">
        <v>24</v>
      </c>
      <c r="G333" s="3" t="s">
        <v>25</v>
      </c>
      <c r="H333" s="3" t="s">
        <v>24</v>
      </c>
      <c r="I333" s="3" t="s">
        <v>25</v>
      </c>
      <c r="J333" s="3" t="s">
        <v>24</v>
      </c>
      <c r="K333" s="3" t="s">
        <v>25</v>
      </c>
      <c r="L333" s="5">
        <v>205.0</v>
      </c>
      <c r="M333" s="5">
        <v>211.0</v>
      </c>
      <c r="N333" s="5">
        <v>235.0</v>
      </c>
      <c r="O333" s="5">
        <v>651.0</v>
      </c>
      <c r="P333" s="6">
        <v>44722.0</v>
      </c>
      <c r="Q333" s="3" t="s">
        <v>24</v>
      </c>
      <c r="R333" s="3" t="s">
        <v>25</v>
      </c>
      <c r="S333" s="5">
        <v>1522860.0</v>
      </c>
      <c r="T333" s="3"/>
      <c r="U333" s="3"/>
      <c r="V333" s="3"/>
      <c r="W333" s="3"/>
      <c r="X333" s="3"/>
    </row>
    <row r="334">
      <c r="A334" s="3" t="s">
        <v>720</v>
      </c>
      <c r="B334" s="3" t="s">
        <v>721</v>
      </c>
      <c r="C334" s="3" t="s">
        <v>21</v>
      </c>
      <c r="D334" s="3" t="s">
        <v>59</v>
      </c>
      <c r="E334" s="3" t="s">
        <v>629</v>
      </c>
      <c r="F334" s="3" t="s">
        <v>24</v>
      </c>
      <c r="G334" s="3" t="s">
        <v>25</v>
      </c>
      <c r="H334" s="3" t="s">
        <v>24</v>
      </c>
      <c r="I334" s="3" t="s">
        <v>25</v>
      </c>
      <c r="J334" s="3" t="s">
        <v>24</v>
      </c>
      <c r="K334" s="3" t="s">
        <v>25</v>
      </c>
      <c r="L334" s="5">
        <v>210.0</v>
      </c>
      <c r="M334" s="5">
        <v>215.0</v>
      </c>
      <c r="N334" s="5">
        <v>218.0</v>
      </c>
      <c r="O334" s="5">
        <v>643.0</v>
      </c>
      <c r="P334" s="6">
        <v>44667.0</v>
      </c>
      <c r="Q334" s="3" t="s">
        <v>24</v>
      </c>
      <c r="R334" s="3" t="s">
        <v>25</v>
      </c>
      <c r="S334" s="5">
        <v>1468328.0</v>
      </c>
      <c r="T334" s="3"/>
      <c r="U334" s="3"/>
      <c r="V334" s="3"/>
      <c r="W334" s="3"/>
      <c r="X334" s="3"/>
    </row>
    <row r="335">
      <c r="A335" s="3" t="s">
        <v>722</v>
      </c>
      <c r="B335" s="3" t="s">
        <v>723</v>
      </c>
      <c r="C335" s="3" t="s">
        <v>21</v>
      </c>
      <c r="D335" s="3" t="s">
        <v>59</v>
      </c>
      <c r="E335" s="3" t="s">
        <v>629</v>
      </c>
      <c r="F335" s="3" t="s">
        <v>24</v>
      </c>
      <c r="G335" s="3" t="s">
        <v>25</v>
      </c>
      <c r="H335" s="3" t="s">
        <v>24</v>
      </c>
      <c r="I335" s="3" t="s">
        <v>25</v>
      </c>
      <c r="J335" s="3" t="s">
        <v>24</v>
      </c>
      <c r="K335" s="3" t="s">
        <v>25</v>
      </c>
      <c r="L335" s="5">
        <v>210.0</v>
      </c>
      <c r="M335" s="5">
        <v>201.0</v>
      </c>
      <c r="N335" s="5">
        <v>205.0</v>
      </c>
      <c r="O335" s="5">
        <v>616.0</v>
      </c>
      <c r="P335" s="6">
        <v>44723.0</v>
      </c>
      <c r="Q335" s="3" t="s">
        <v>24</v>
      </c>
      <c r="R335" s="3" t="s">
        <v>25</v>
      </c>
      <c r="S335" s="5">
        <v>1870940.0</v>
      </c>
      <c r="T335" s="3"/>
      <c r="U335" s="3"/>
      <c r="V335" s="3"/>
      <c r="W335" s="3"/>
      <c r="X335" s="3"/>
    </row>
    <row r="336">
      <c r="A336" s="3" t="s">
        <v>724</v>
      </c>
      <c r="B336" s="3" t="s">
        <v>725</v>
      </c>
      <c r="C336" s="3" t="s">
        <v>21</v>
      </c>
      <c r="D336" s="3" t="s">
        <v>59</v>
      </c>
      <c r="E336" s="3" t="s">
        <v>629</v>
      </c>
      <c r="F336" s="3" t="s">
        <v>24</v>
      </c>
      <c r="G336" s="3" t="s">
        <v>25</v>
      </c>
      <c r="H336" s="3" t="s">
        <v>24</v>
      </c>
      <c r="I336" s="3" t="s">
        <v>25</v>
      </c>
      <c r="J336" s="3" t="s">
        <v>24</v>
      </c>
      <c r="K336" s="3" t="s">
        <v>25</v>
      </c>
      <c r="L336" s="5">
        <v>205.0</v>
      </c>
      <c r="M336" s="5">
        <v>201.0</v>
      </c>
      <c r="N336" s="5">
        <v>210.0</v>
      </c>
      <c r="O336" s="5">
        <v>616.0</v>
      </c>
      <c r="P336" s="6">
        <v>44723.0</v>
      </c>
      <c r="Q336" s="3" t="s">
        <v>24</v>
      </c>
      <c r="R336" s="3" t="s">
        <v>25</v>
      </c>
      <c r="S336" s="5">
        <v>1452965.0</v>
      </c>
      <c r="T336" s="3"/>
      <c r="U336" s="3"/>
      <c r="V336" s="3"/>
      <c r="W336" s="3"/>
      <c r="X336" s="3"/>
    </row>
    <row r="337">
      <c r="A337" s="3" t="s">
        <v>726</v>
      </c>
      <c r="B337" s="3" t="s">
        <v>727</v>
      </c>
      <c r="C337" s="3" t="s">
        <v>21</v>
      </c>
      <c r="D337" s="3" t="s">
        <v>59</v>
      </c>
      <c r="E337" s="3" t="s">
        <v>629</v>
      </c>
      <c r="F337" s="3" t="s">
        <v>24</v>
      </c>
      <c r="G337" s="3" t="s">
        <v>25</v>
      </c>
      <c r="H337" s="3" t="s">
        <v>24</v>
      </c>
      <c r="I337" s="3" t="s">
        <v>25</v>
      </c>
      <c r="J337" s="3" t="s">
        <v>24</v>
      </c>
      <c r="K337" s="3" t="s">
        <v>25</v>
      </c>
      <c r="L337" s="5">
        <v>210.0</v>
      </c>
      <c r="M337" s="5">
        <v>205.0</v>
      </c>
      <c r="N337" s="5">
        <v>200.0</v>
      </c>
      <c r="O337" s="5">
        <v>615.0</v>
      </c>
      <c r="P337" s="6">
        <v>44668.0</v>
      </c>
      <c r="Q337" s="3" t="s">
        <v>24</v>
      </c>
      <c r="R337" s="3" t="s">
        <v>25</v>
      </c>
      <c r="S337" s="5">
        <v>1000228.0</v>
      </c>
      <c r="T337" s="3"/>
      <c r="U337" s="3"/>
      <c r="V337" s="3"/>
      <c r="W337" s="3"/>
      <c r="X337" s="3"/>
    </row>
    <row r="338">
      <c r="A338" s="3" t="s">
        <v>728</v>
      </c>
      <c r="B338" s="3" t="s">
        <v>729</v>
      </c>
      <c r="C338" s="3" t="s">
        <v>21</v>
      </c>
      <c r="D338" s="3" t="s">
        <v>22</v>
      </c>
      <c r="E338" s="3" t="s">
        <v>629</v>
      </c>
      <c r="F338" s="3" t="s">
        <v>24</v>
      </c>
      <c r="G338" s="3" t="s">
        <v>25</v>
      </c>
      <c r="H338" s="3" t="s">
        <v>24</v>
      </c>
      <c r="I338" s="3" t="s">
        <v>25</v>
      </c>
      <c r="J338" s="3" t="s">
        <v>24</v>
      </c>
      <c r="K338" s="3" t="s">
        <v>25</v>
      </c>
      <c r="L338" s="5">
        <v>200.0</v>
      </c>
      <c r="M338" s="5">
        <v>200.0</v>
      </c>
      <c r="N338" s="5">
        <v>200.0</v>
      </c>
      <c r="O338" s="5">
        <v>600.0</v>
      </c>
      <c r="P338" s="6">
        <v>44670.0</v>
      </c>
      <c r="Q338" s="3" t="s">
        <v>24</v>
      </c>
      <c r="R338" s="3" t="s">
        <v>25</v>
      </c>
      <c r="S338" s="5">
        <v>96943.0</v>
      </c>
      <c r="T338" s="3"/>
      <c r="U338" s="3"/>
      <c r="V338" s="3"/>
      <c r="W338" s="3"/>
      <c r="X338" s="3"/>
    </row>
    <row r="339">
      <c r="A339" s="3" t="s">
        <v>730</v>
      </c>
      <c r="B339" s="3" t="s">
        <v>731</v>
      </c>
      <c r="C339" s="3" t="s">
        <v>21</v>
      </c>
      <c r="D339" s="3" t="s">
        <v>59</v>
      </c>
      <c r="E339" s="3" t="s">
        <v>629</v>
      </c>
      <c r="F339" s="3" t="s">
        <v>24</v>
      </c>
      <c r="G339" s="3" t="s">
        <v>25</v>
      </c>
      <c r="H339" s="3" t="s">
        <v>30</v>
      </c>
      <c r="I339" s="3" t="s">
        <v>25</v>
      </c>
      <c r="J339" s="3" t="s">
        <v>24</v>
      </c>
      <c r="K339" s="3" t="s">
        <v>25</v>
      </c>
      <c r="L339" s="5">
        <v>210.0</v>
      </c>
      <c r="M339" s="5">
        <v>302.0</v>
      </c>
      <c r="N339" s="5">
        <v>256.0</v>
      </c>
      <c r="O339" s="5">
        <v>768.0</v>
      </c>
      <c r="P339" s="6">
        <v>44722.0</v>
      </c>
      <c r="Q339" s="3" t="s">
        <v>30</v>
      </c>
      <c r="R339" s="3" t="s">
        <v>25</v>
      </c>
      <c r="S339" s="5">
        <v>1832466.0</v>
      </c>
      <c r="T339" s="3"/>
      <c r="U339" s="3"/>
      <c r="V339" s="3"/>
      <c r="W339" s="3"/>
      <c r="X339" s="3"/>
    </row>
    <row r="340">
      <c r="A340" s="3" t="s">
        <v>732</v>
      </c>
      <c r="B340" s="3" t="s">
        <v>733</v>
      </c>
      <c r="C340" s="3" t="s">
        <v>21</v>
      </c>
      <c r="D340" s="3" t="s">
        <v>59</v>
      </c>
      <c r="E340" s="3" t="s">
        <v>734</v>
      </c>
      <c r="F340" s="3" t="s">
        <v>28</v>
      </c>
      <c r="G340" s="3" t="s">
        <v>29</v>
      </c>
      <c r="H340" s="3" t="s">
        <v>28</v>
      </c>
      <c r="I340" s="3" t="s">
        <v>29</v>
      </c>
      <c r="J340" s="3" t="s">
        <v>31</v>
      </c>
      <c r="K340" s="3" t="s">
        <v>29</v>
      </c>
      <c r="L340" s="5">
        <v>505.0</v>
      </c>
      <c r="M340" s="5">
        <v>570.0</v>
      </c>
      <c r="N340" s="5">
        <v>400.0</v>
      </c>
      <c r="O340" s="5">
        <v>1475.0</v>
      </c>
      <c r="P340" s="6">
        <v>44722.0</v>
      </c>
      <c r="Q340" s="3" t="s">
        <v>28</v>
      </c>
      <c r="R340" s="3" t="s">
        <v>29</v>
      </c>
      <c r="S340" s="5">
        <v>1559720.0</v>
      </c>
      <c r="T340" s="3"/>
      <c r="U340" s="3"/>
      <c r="V340" s="3"/>
      <c r="W340" s="3"/>
      <c r="X340" s="3"/>
    </row>
    <row r="341">
      <c r="A341" s="3" t="s">
        <v>735</v>
      </c>
      <c r="B341" s="3" t="s">
        <v>736</v>
      </c>
      <c r="C341" s="3" t="s">
        <v>21</v>
      </c>
      <c r="D341" s="3" t="s">
        <v>22</v>
      </c>
      <c r="E341" s="3" t="s">
        <v>734</v>
      </c>
      <c r="F341" s="3" t="s">
        <v>28</v>
      </c>
      <c r="G341" s="3" t="s">
        <v>29</v>
      </c>
      <c r="H341" s="3" t="s">
        <v>30</v>
      </c>
      <c r="I341" s="3" t="s">
        <v>25</v>
      </c>
      <c r="J341" s="3" t="s">
        <v>30</v>
      </c>
      <c r="K341" s="3" t="s">
        <v>25</v>
      </c>
      <c r="L341" s="5">
        <v>547.0</v>
      </c>
      <c r="M341" s="5">
        <v>318.0</v>
      </c>
      <c r="N341" s="5">
        <v>313.0</v>
      </c>
      <c r="O341" s="5">
        <v>1178.0</v>
      </c>
      <c r="P341" s="6">
        <v>44669.0</v>
      </c>
      <c r="Q341" s="3" t="s">
        <v>31</v>
      </c>
      <c r="R341" s="3" t="s">
        <v>29</v>
      </c>
      <c r="S341" s="5">
        <v>1300514.0</v>
      </c>
      <c r="T341" s="3"/>
      <c r="U341" s="3"/>
      <c r="V341" s="3"/>
      <c r="W341" s="3"/>
      <c r="X341" s="3"/>
    </row>
    <row r="342">
      <c r="A342" s="3" t="s">
        <v>737</v>
      </c>
      <c r="B342" s="3" t="s">
        <v>738</v>
      </c>
      <c r="C342" s="3" t="s">
        <v>21</v>
      </c>
      <c r="D342" s="3" t="s">
        <v>59</v>
      </c>
      <c r="E342" s="3" t="s">
        <v>734</v>
      </c>
      <c r="F342" s="3" t="s">
        <v>28</v>
      </c>
      <c r="G342" s="3" t="s">
        <v>29</v>
      </c>
      <c r="H342" s="3" t="s">
        <v>30</v>
      </c>
      <c r="I342" s="3" t="s">
        <v>25</v>
      </c>
      <c r="J342" s="3" t="s">
        <v>30</v>
      </c>
      <c r="K342" s="3" t="s">
        <v>25</v>
      </c>
      <c r="L342" s="5">
        <v>558.0</v>
      </c>
      <c r="M342" s="5">
        <v>306.0</v>
      </c>
      <c r="N342" s="5">
        <v>310.0</v>
      </c>
      <c r="O342" s="5">
        <v>1174.0</v>
      </c>
      <c r="P342" s="6">
        <v>44722.0</v>
      </c>
      <c r="Q342" s="3" t="s">
        <v>31</v>
      </c>
      <c r="R342" s="3" t="s">
        <v>29</v>
      </c>
      <c r="S342" s="5">
        <v>1075531.0</v>
      </c>
      <c r="T342" s="3"/>
      <c r="U342" s="3"/>
      <c r="V342" s="3"/>
      <c r="W342" s="3"/>
      <c r="X342" s="3"/>
    </row>
    <row r="343">
      <c r="A343" s="3" t="s">
        <v>739</v>
      </c>
      <c r="B343" s="3" t="s">
        <v>740</v>
      </c>
      <c r="C343" s="3" t="s">
        <v>21</v>
      </c>
      <c r="D343" s="3" t="s">
        <v>22</v>
      </c>
      <c r="E343" s="3" t="s">
        <v>734</v>
      </c>
      <c r="F343" s="3" t="s">
        <v>28</v>
      </c>
      <c r="G343" s="3" t="s">
        <v>29</v>
      </c>
      <c r="H343" s="3" t="s">
        <v>30</v>
      </c>
      <c r="I343" s="3" t="s">
        <v>25</v>
      </c>
      <c r="J343" s="3" t="s">
        <v>30</v>
      </c>
      <c r="K343" s="3" t="s">
        <v>25</v>
      </c>
      <c r="L343" s="5">
        <v>515.0</v>
      </c>
      <c r="M343" s="5">
        <v>326.0</v>
      </c>
      <c r="N343" s="5">
        <v>320.0</v>
      </c>
      <c r="O343" s="5">
        <v>1161.0</v>
      </c>
      <c r="P343" s="6">
        <v>44667.0</v>
      </c>
      <c r="Q343" s="3" t="s">
        <v>31</v>
      </c>
      <c r="R343" s="3" t="s">
        <v>29</v>
      </c>
      <c r="S343" s="5">
        <v>815097.0</v>
      </c>
      <c r="T343" s="3"/>
      <c r="U343" s="3"/>
      <c r="V343" s="3"/>
      <c r="W343" s="3"/>
      <c r="X343" s="3"/>
    </row>
    <row r="344">
      <c r="A344" s="3" t="s">
        <v>741</v>
      </c>
      <c r="B344" s="3" t="s">
        <v>742</v>
      </c>
      <c r="C344" s="3" t="s">
        <v>21</v>
      </c>
      <c r="D344" s="3" t="s">
        <v>59</v>
      </c>
      <c r="E344" s="3" t="s">
        <v>734</v>
      </c>
      <c r="F344" s="3" t="s">
        <v>31</v>
      </c>
      <c r="G344" s="3" t="s">
        <v>29</v>
      </c>
      <c r="H344" s="3" t="s">
        <v>30</v>
      </c>
      <c r="I344" s="3" t="s">
        <v>25</v>
      </c>
      <c r="J344" s="3" t="s">
        <v>24</v>
      </c>
      <c r="K344" s="3" t="s">
        <v>25</v>
      </c>
      <c r="L344" s="5">
        <v>475.0</v>
      </c>
      <c r="M344" s="5">
        <v>385.0</v>
      </c>
      <c r="N344" s="5">
        <v>295.0</v>
      </c>
      <c r="O344" s="5">
        <v>1155.0</v>
      </c>
      <c r="P344" s="6">
        <v>44670.0</v>
      </c>
      <c r="Q344" s="3" t="s">
        <v>31</v>
      </c>
      <c r="R344" s="3" t="s">
        <v>29</v>
      </c>
      <c r="S344" s="5">
        <v>829224.0</v>
      </c>
      <c r="T344" s="3"/>
      <c r="U344" s="3"/>
      <c r="V344" s="3"/>
      <c r="W344" s="3"/>
      <c r="X344" s="3"/>
    </row>
    <row r="345">
      <c r="A345" s="3" t="s">
        <v>743</v>
      </c>
      <c r="B345" s="3" t="s">
        <v>744</v>
      </c>
      <c r="C345" s="3" t="s">
        <v>21</v>
      </c>
      <c r="D345" s="3" t="s">
        <v>22</v>
      </c>
      <c r="E345" s="3" t="s">
        <v>734</v>
      </c>
      <c r="F345" s="3" t="s">
        <v>28</v>
      </c>
      <c r="G345" s="3" t="s">
        <v>29</v>
      </c>
      <c r="H345" s="3" t="s">
        <v>30</v>
      </c>
      <c r="I345" s="3" t="s">
        <v>25</v>
      </c>
      <c r="J345" s="3" t="s">
        <v>30</v>
      </c>
      <c r="K345" s="3" t="s">
        <v>25</v>
      </c>
      <c r="L345" s="5">
        <v>503.0</v>
      </c>
      <c r="M345" s="5">
        <v>327.0</v>
      </c>
      <c r="N345" s="5">
        <v>310.0</v>
      </c>
      <c r="O345" s="5">
        <v>1140.0</v>
      </c>
      <c r="P345" s="6">
        <v>44670.0</v>
      </c>
      <c r="Q345" s="3" t="s">
        <v>31</v>
      </c>
      <c r="R345" s="3" t="s">
        <v>29</v>
      </c>
      <c r="S345" s="5">
        <v>884887.0</v>
      </c>
      <c r="T345" s="3"/>
      <c r="U345" s="3"/>
      <c r="V345" s="3"/>
      <c r="W345" s="3"/>
      <c r="X345" s="3"/>
    </row>
    <row r="346">
      <c r="A346" s="3" t="s">
        <v>745</v>
      </c>
      <c r="B346" s="3" t="s">
        <v>746</v>
      </c>
      <c r="C346" s="3" t="s">
        <v>21</v>
      </c>
      <c r="D346" s="3" t="s">
        <v>22</v>
      </c>
      <c r="E346" s="3" t="s">
        <v>734</v>
      </c>
      <c r="F346" s="3" t="s">
        <v>28</v>
      </c>
      <c r="G346" s="3" t="s">
        <v>29</v>
      </c>
      <c r="H346" s="3" t="s">
        <v>30</v>
      </c>
      <c r="I346" s="3" t="s">
        <v>25</v>
      </c>
      <c r="J346" s="3" t="s">
        <v>30</v>
      </c>
      <c r="K346" s="3" t="s">
        <v>25</v>
      </c>
      <c r="L346" s="5">
        <v>505.0</v>
      </c>
      <c r="M346" s="5">
        <v>326.0</v>
      </c>
      <c r="N346" s="5">
        <v>305.0</v>
      </c>
      <c r="O346" s="5">
        <v>1136.0</v>
      </c>
      <c r="P346" s="6">
        <v>44669.0</v>
      </c>
      <c r="Q346" s="3" t="s">
        <v>31</v>
      </c>
      <c r="R346" s="3" t="s">
        <v>29</v>
      </c>
      <c r="S346" s="5">
        <v>63908.0</v>
      </c>
      <c r="T346" s="3"/>
      <c r="U346" s="3"/>
      <c r="V346" s="3"/>
      <c r="W346" s="3"/>
      <c r="X346" s="3"/>
    </row>
    <row r="347">
      <c r="A347" s="3" t="s">
        <v>747</v>
      </c>
      <c r="B347" s="3" t="s">
        <v>748</v>
      </c>
      <c r="C347" s="3" t="s">
        <v>21</v>
      </c>
      <c r="D347" s="3" t="s">
        <v>22</v>
      </c>
      <c r="E347" s="3" t="s">
        <v>734</v>
      </c>
      <c r="F347" s="3" t="s">
        <v>28</v>
      </c>
      <c r="G347" s="3" t="s">
        <v>29</v>
      </c>
      <c r="H347" s="3" t="s">
        <v>30</v>
      </c>
      <c r="I347" s="3" t="s">
        <v>25</v>
      </c>
      <c r="J347" s="3" t="s">
        <v>30</v>
      </c>
      <c r="K347" s="3" t="s">
        <v>25</v>
      </c>
      <c r="L347" s="5">
        <v>500.0</v>
      </c>
      <c r="M347" s="5">
        <v>320.0</v>
      </c>
      <c r="N347" s="5">
        <v>310.0</v>
      </c>
      <c r="O347" s="5">
        <v>1130.0</v>
      </c>
      <c r="P347" s="6">
        <v>44671.0</v>
      </c>
      <c r="Q347" s="3" t="s">
        <v>31</v>
      </c>
      <c r="R347" s="3" t="s">
        <v>29</v>
      </c>
      <c r="S347" s="5">
        <v>1041061.0</v>
      </c>
      <c r="T347" s="3"/>
      <c r="U347" s="3"/>
      <c r="V347" s="3"/>
      <c r="W347" s="3"/>
      <c r="X347" s="3"/>
    </row>
    <row r="348">
      <c r="A348" s="3" t="s">
        <v>749</v>
      </c>
      <c r="B348" s="3" t="s">
        <v>750</v>
      </c>
      <c r="C348" s="3" t="s">
        <v>21</v>
      </c>
      <c r="D348" s="3" t="s">
        <v>22</v>
      </c>
      <c r="E348" s="3" t="s">
        <v>734</v>
      </c>
      <c r="F348" s="3" t="s">
        <v>28</v>
      </c>
      <c r="G348" s="3" t="s">
        <v>29</v>
      </c>
      <c r="H348" s="3" t="s">
        <v>30</v>
      </c>
      <c r="I348" s="3" t="s">
        <v>25</v>
      </c>
      <c r="J348" s="3" t="s">
        <v>30</v>
      </c>
      <c r="K348" s="3" t="s">
        <v>25</v>
      </c>
      <c r="L348" s="5">
        <v>515.0</v>
      </c>
      <c r="M348" s="5">
        <v>309.0</v>
      </c>
      <c r="N348" s="5">
        <v>300.0</v>
      </c>
      <c r="O348" s="5">
        <v>1124.0</v>
      </c>
      <c r="P348" s="6">
        <v>44668.0</v>
      </c>
      <c r="Q348" s="3" t="s">
        <v>31</v>
      </c>
      <c r="R348" s="3" t="s">
        <v>29</v>
      </c>
      <c r="S348" s="5">
        <v>940944.0</v>
      </c>
      <c r="T348" s="3"/>
      <c r="U348" s="3"/>
      <c r="V348" s="3"/>
      <c r="W348" s="3"/>
      <c r="X348" s="3"/>
    </row>
    <row r="349">
      <c r="A349" s="3" t="s">
        <v>751</v>
      </c>
      <c r="B349" s="3" t="s">
        <v>752</v>
      </c>
      <c r="C349" s="3" t="s">
        <v>21</v>
      </c>
      <c r="D349" s="3" t="s">
        <v>22</v>
      </c>
      <c r="E349" s="3" t="s">
        <v>734</v>
      </c>
      <c r="F349" s="3" t="s">
        <v>31</v>
      </c>
      <c r="G349" s="3" t="s">
        <v>29</v>
      </c>
      <c r="H349" s="3" t="s">
        <v>30</v>
      </c>
      <c r="I349" s="3" t="s">
        <v>25</v>
      </c>
      <c r="J349" s="3" t="s">
        <v>30</v>
      </c>
      <c r="K349" s="3" t="s">
        <v>25</v>
      </c>
      <c r="L349" s="5">
        <v>495.0</v>
      </c>
      <c r="M349" s="5">
        <v>306.0</v>
      </c>
      <c r="N349" s="5">
        <v>300.0</v>
      </c>
      <c r="O349" s="5">
        <v>1101.0</v>
      </c>
      <c r="P349" s="6">
        <v>44669.0</v>
      </c>
      <c r="Q349" s="3" t="s">
        <v>31</v>
      </c>
      <c r="R349" s="3" t="s">
        <v>29</v>
      </c>
      <c r="S349" s="5">
        <v>1513761.0</v>
      </c>
      <c r="T349" s="3"/>
      <c r="U349" s="3"/>
      <c r="V349" s="3"/>
      <c r="W349" s="3"/>
      <c r="X349" s="3"/>
    </row>
    <row r="350">
      <c r="A350" s="3" t="s">
        <v>753</v>
      </c>
      <c r="B350" s="3" t="s">
        <v>754</v>
      </c>
      <c r="C350" s="3" t="s">
        <v>21</v>
      </c>
      <c r="D350" s="3" t="s">
        <v>22</v>
      </c>
      <c r="E350" s="3" t="s">
        <v>734</v>
      </c>
      <c r="F350" s="3" t="s">
        <v>28</v>
      </c>
      <c r="G350" s="3" t="s">
        <v>29</v>
      </c>
      <c r="H350" s="3" t="s">
        <v>30</v>
      </c>
      <c r="I350" s="3" t="s">
        <v>25</v>
      </c>
      <c r="J350" s="3" t="s">
        <v>24</v>
      </c>
      <c r="K350" s="3" t="s">
        <v>25</v>
      </c>
      <c r="L350" s="5">
        <v>500.0</v>
      </c>
      <c r="M350" s="5">
        <v>300.0</v>
      </c>
      <c r="N350" s="5">
        <v>200.0</v>
      </c>
      <c r="O350" s="5">
        <v>1000.0</v>
      </c>
      <c r="P350" s="6">
        <v>44821.0</v>
      </c>
      <c r="Q350" s="3" t="s">
        <v>31</v>
      </c>
      <c r="R350" s="3" t="s">
        <v>29</v>
      </c>
      <c r="S350" s="5">
        <v>789570.0</v>
      </c>
      <c r="T350" s="3"/>
      <c r="U350" s="3"/>
      <c r="V350" s="3"/>
      <c r="W350" s="3"/>
      <c r="X350" s="3"/>
    </row>
    <row r="351">
      <c r="A351" s="3" t="s">
        <v>755</v>
      </c>
      <c r="B351" s="3" t="s">
        <v>756</v>
      </c>
      <c r="C351" s="3" t="s">
        <v>21</v>
      </c>
      <c r="D351" s="3" t="s">
        <v>59</v>
      </c>
      <c r="E351" s="3" t="s">
        <v>734</v>
      </c>
      <c r="F351" s="3" t="s">
        <v>30</v>
      </c>
      <c r="G351" s="3" t="s">
        <v>25</v>
      </c>
      <c r="H351" s="3" t="s">
        <v>30</v>
      </c>
      <c r="I351" s="3" t="s">
        <v>25</v>
      </c>
      <c r="J351" s="3" t="s">
        <v>24</v>
      </c>
      <c r="K351" s="3" t="s">
        <v>25</v>
      </c>
      <c r="L351" s="5">
        <v>371.0</v>
      </c>
      <c r="M351" s="5">
        <v>300.0</v>
      </c>
      <c r="N351" s="5">
        <v>220.0</v>
      </c>
      <c r="O351" s="5">
        <v>891.0</v>
      </c>
      <c r="P351" s="6">
        <v>44669.0</v>
      </c>
      <c r="Q351" s="3" t="s">
        <v>30</v>
      </c>
      <c r="R351" s="3" t="s">
        <v>25</v>
      </c>
      <c r="S351" s="5">
        <v>921738.0</v>
      </c>
      <c r="T351" s="3"/>
      <c r="U351" s="3"/>
      <c r="V351" s="3"/>
      <c r="W351" s="3"/>
      <c r="X351" s="3"/>
    </row>
    <row r="352">
      <c r="A352" s="3" t="s">
        <v>757</v>
      </c>
      <c r="B352" s="3" t="s">
        <v>758</v>
      </c>
      <c r="C352" s="3" t="s">
        <v>21</v>
      </c>
      <c r="D352" s="3" t="s">
        <v>59</v>
      </c>
      <c r="E352" s="3" t="s">
        <v>734</v>
      </c>
      <c r="F352" s="3" t="s">
        <v>24</v>
      </c>
      <c r="G352" s="3" t="s">
        <v>25</v>
      </c>
      <c r="H352" s="3" t="s">
        <v>24</v>
      </c>
      <c r="I352" s="3" t="s">
        <v>25</v>
      </c>
      <c r="J352" s="3" t="s">
        <v>30</v>
      </c>
      <c r="K352" s="3" t="s">
        <v>25</v>
      </c>
      <c r="L352" s="5">
        <v>225.0</v>
      </c>
      <c r="M352" s="5">
        <v>242.0</v>
      </c>
      <c r="N352" s="5">
        <v>305.0</v>
      </c>
      <c r="O352" s="5">
        <v>772.0</v>
      </c>
      <c r="P352" s="6">
        <v>44668.0</v>
      </c>
      <c r="Q352" s="3" t="s">
        <v>30</v>
      </c>
      <c r="R352" s="3" t="s">
        <v>25</v>
      </c>
      <c r="S352" s="5">
        <v>1324424.0</v>
      </c>
      <c r="T352" s="3"/>
      <c r="U352" s="3"/>
      <c r="V352" s="3"/>
      <c r="W352" s="3"/>
      <c r="X352" s="3"/>
    </row>
    <row r="353">
      <c r="A353" s="3" t="s">
        <v>759</v>
      </c>
      <c r="B353" s="3" t="s">
        <v>760</v>
      </c>
      <c r="C353" s="3" t="s">
        <v>21</v>
      </c>
      <c r="D353" s="3" t="s">
        <v>22</v>
      </c>
      <c r="E353" s="3" t="s">
        <v>734</v>
      </c>
      <c r="F353" s="3" t="s">
        <v>24</v>
      </c>
      <c r="G353" s="3" t="s">
        <v>25</v>
      </c>
      <c r="H353" s="3" t="s">
        <v>24</v>
      </c>
      <c r="I353" s="3" t="s">
        <v>25</v>
      </c>
      <c r="J353" s="3" t="s">
        <v>24</v>
      </c>
      <c r="K353" s="3" t="s">
        <v>25</v>
      </c>
      <c r="L353" s="5">
        <v>293.0</v>
      </c>
      <c r="M353" s="5">
        <v>200.0</v>
      </c>
      <c r="N353" s="5">
        <v>205.0</v>
      </c>
      <c r="O353" s="5">
        <v>698.0</v>
      </c>
      <c r="P353" s="6">
        <v>44668.0</v>
      </c>
      <c r="Q353" s="3" t="s">
        <v>24</v>
      </c>
      <c r="R353" s="3" t="s">
        <v>25</v>
      </c>
      <c r="S353" s="5">
        <v>1585689.0</v>
      </c>
      <c r="T353" s="3"/>
      <c r="U353" s="3"/>
      <c r="V353" s="3"/>
      <c r="W353" s="3"/>
      <c r="X353" s="3"/>
    </row>
    <row r="354">
      <c r="A354" s="3" t="s">
        <v>761</v>
      </c>
      <c r="B354" s="3" t="s">
        <v>762</v>
      </c>
      <c r="C354" s="3" t="s">
        <v>21</v>
      </c>
      <c r="D354" s="3" t="s">
        <v>59</v>
      </c>
      <c r="E354" s="3" t="s">
        <v>734</v>
      </c>
      <c r="F354" s="3" t="s">
        <v>24</v>
      </c>
      <c r="G354" s="3" t="s">
        <v>25</v>
      </c>
      <c r="H354" s="3" t="s">
        <v>24</v>
      </c>
      <c r="I354" s="3" t="s">
        <v>25</v>
      </c>
      <c r="J354" s="3" t="s">
        <v>24</v>
      </c>
      <c r="K354" s="3" t="s">
        <v>25</v>
      </c>
      <c r="L354" s="5">
        <v>265.0</v>
      </c>
      <c r="M354" s="5">
        <v>228.0</v>
      </c>
      <c r="N354" s="5">
        <v>200.0</v>
      </c>
      <c r="O354" s="5">
        <v>693.0</v>
      </c>
      <c r="P354" s="6">
        <v>44667.0</v>
      </c>
      <c r="Q354" s="3" t="s">
        <v>24</v>
      </c>
      <c r="R354" s="3" t="s">
        <v>25</v>
      </c>
      <c r="S354" s="5">
        <v>1590895.0</v>
      </c>
      <c r="T354" s="3"/>
      <c r="U354" s="3"/>
      <c r="V354" s="3"/>
      <c r="W354" s="3"/>
      <c r="X354" s="3"/>
    </row>
    <row r="355">
      <c r="A355" s="3" t="s">
        <v>763</v>
      </c>
      <c r="B355" s="3" t="s">
        <v>764</v>
      </c>
      <c r="C355" s="3" t="s">
        <v>21</v>
      </c>
      <c r="D355" s="3" t="s">
        <v>22</v>
      </c>
      <c r="E355" s="3" t="s">
        <v>734</v>
      </c>
      <c r="F355" s="3" t="s">
        <v>24</v>
      </c>
      <c r="G355" s="3" t="s">
        <v>25</v>
      </c>
      <c r="H355" s="3" t="s">
        <v>24</v>
      </c>
      <c r="I355" s="3" t="s">
        <v>25</v>
      </c>
      <c r="J355" s="3" t="s">
        <v>24</v>
      </c>
      <c r="K355" s="3" t="s">
        <v>25</v>
      </c>
      <c r="L355" s="5">
        <v>210.0</v>
      </c>
      <c r="M355" s="5">
        <v>241.0</v>
      </c>
      <c r="N355" s="5">
        <v>213.0</v>
      </c>
      <c r="O355" s="5">
        <v>664.0</v>
      </c>
      <c r="P355" s="6">
        <v>44667.0</v>
      </c>
      <c r="Q355" s="3" t="s">
        <v>24</v>
      </c>
      <c r="R355" s="3" t="s">
        <v>25</v>
      </c>
      <c r="S355" s="5">
        <v>1058090.0</v>
      </c>
      <c r="T355" s="3"/>
      <c r="U355" s="3"/>
      <c r="V355" s="3"/>
      <c r="W355" s="3"/>
      <c r="X355" s="3"/>
    </row>
    <row r="356">
      <c r="A356" s="3" t="s">
        <v>765</v>
      </c>
      <c r="B356" s="3" t="s">
        <v>766</v>
      </c>
      <c r="C356" s="3" t="s">
        <v>21</v>
      </c>
      <c r="D356" s="3" t="s">
        <v>22</v>
      </c>
      <c r="E356" s="3" t="s">
        <v>734</v>
      </c>
      <c r="F356" s="3" t="s">
        <v>24</v>
      </c>
      <c r="G356" s="3" t="s">
        <v>25</v>
      </c>
      <c r="H356" s="3" t="s">
        <v>24</v>
      </c>
      <c r="I356" s="3" t="s">
        <v>25</v>
      </c>
      <c r="J356" s="3" t="s">
        <v>24</v>
      </c>
      <c r="K356" s="3" t="s">
        <v>25</v>
      </c>
      <c r="L356" s="5">
        <v>205.0</v>
      </c>
      <c r="M356" s="5">
        <v>217.0</v>
      </c>
      <c r="N356" s="5">
        <v>220.0</v>
      </c>
      <c r="O356" s="5">
        <v>642.0</v>
      </c>
      <c r="P356" s="6">
        <v>44723.0</v>
      </c>
      <c r="Q356" s="3" t="s">
        <v>24</v>
      </c>
      <c r="R356" s="3" t="s">
        <v>25</v>
      </c>
      <c r="S356" s="5">
        <v>1673358.0</v>
      </c>
      <c r="T356" s="3"/>
      <c r="U356" s="3"/>
      <c r="V356" s="3"/>
      <c r="W356" s="3"/>
      <c r="X356" s="3"/>
    </row>
    <row r="357">
      <c r="A357" s="3" t="s">
        <v>767</v>
      </c>
      <c r="B357" s="3" t="s">
        <v>768</v>
      </c>
      <c r="C357" s="3" t="s">
        <v>21</v>
      </c>
      <c r="D357" s="3" t="s">
        <v>59</v>
      </c>
      <c r="E357" s="3" t="s">
        <v>734</v>
      </c>
      <c r="F357" s="3" t="s">
        <v>24</v>
      </c>
      <c r="G357" s="3" t="s">
        <v>25</v>
      </c>
      <c r="H357" s="3" t="s">
        <v>24</v>
      </c>
      <c r="I357" s="3" t="s">
        <v>25</v>
      </c>
      <c r="J357" s="3" t="s">
        <v>24</v>
      </c>
      <c r="K357" s="3" t="s">
        <v>25</v>
      </c>
      <c r="L357" s="5">
        <v>215.0</v>
      </c>
      <c r="M357" s="5">
        <v>200.0</v>
      </c>
      <c r="N357" s="5">
        <v>215.0</v>
      </c>
      <c r="O357" s="5">
        <v>630.0</v>
      </c>
      <c r="P357" s="6">
        <v>44669.0</v>
      </c>
      <c r="Q357" s="3" t="s">
        <v>24</v>
      </c>
      <c r="R357" s="3" t="s">
        <v>25</v>
      </c>
      <c r="S357" s="5">
        <v>1048286.0</v>
      </c>
      <c r="T357" s="3"/>
      <c r="U357" s="3"/>
      <c r="V357" s="3"/>
      <c r="W357" s="3"/>
      <c r="X357" s="3"/>
    </row>
    <row r="358">
      <c r="A358" s="3" t="s">
        <v>769</v>
      </c>
      <c r="B358" s="3" t="s">
        <v>770</v>
      </c>
      <c r="C358" s="3" t="s">
        <v>21</v>
      </c>
      <c r="D358" s="3" t="s">
        <v>59</v>
      </c>
      <c r="E358" s="3" t="s">
        <v>734</v>
      </c>
      <c r="F358" s="3" t="s">
        <v>24</v>
      </c>
      <c r="G358" s="3" t="s">
        <v>25</v>
      </c>
      <c r="H358" s="3" t="s">
        <v>24</v>
      </c>
      <c r="I358" s="3" t="s">
        <v>25</v>
      </c>
      <c r="J358" s="3" t="s">
        <v>24</v>
      </c>
      <c r="K358" s="3" t="s">
        <v>25</v>
      </c>
      <c r="L358" s="5">
        <v>225.0</v>
      </c>
      <c r="M358" s="5">
        <v>201.0</v>
      </c>
      <c r="N358" s="5">
        <v>200.0</v>
      </c>
      <c r="O358" s="5">
        <v>626.0</v>
      </c>
      <c r="P358" s="6">
        <v>44671.0</v>
      </c>
      <c r="Q358" s="3" t="s">
        <v>24</v>
      </c>
      <c r="R358" s="3" t="s">
        <v>25</v>
      </c>
      <c r="S358" s="5">
        <v>1174922.0</v>
      </c>
      <c r="T358" s="3"/>
      <c r="U358" s="3"/>
      <c r="V358" s="3"/>
      <c r="W358" s="3"/>
      <c r="X358" s="3"/>
    </row>
    <row r="359">
      <c r="A359" s="3" t="s">
        <v>771</v>
      </c>
      <c r="B359" s="3" t="s">
        <v>772</v>
      </c>
      <c r="C359" s="3" t="s">
        <v>21</v>
      </c>
      <c r="D359" s="3" t="s">
        <v>59</v>
      </c>
      <c r="E359" s="3" t="s">
        <v>734</v>
      </c>
      <c r="F359" s="3" t="s">
        <v>24</v>
      </c>
      <c r="G359" s="3" t="s">
        <v>25</v>
      </c>
      <c r="H359" s="3" t="s">
        <v>24</v>
      </c>
      <c r="I359" s="3" t="s">
        <v>25</v>
      </c>
      <c r="J359" s="3" t="s">
        <v>24</v>
      </c>
      <c r="K359" s="3" t="s">
        <v>25</v>
      </c>
      <c r="L359" s="5">
        <v>210.0</v>
      </c>
      <c r="M359" s="5">
        <v>200.0</v>
      </c>
      <c r="N359" s="5">
        <v>205.0</v>
      </c>
      <c r="O359" s="5">
        <v>615.0</v>
      </c>
      <c r="P359" s="6">
        <v>44722.0</v>
      </c>
      <c r="Q359" s="3" t="s">
        <v>24</v>
      </c>
      <c r="R359" s="3" t="s">
        <v>25</v>
      </c>
      <c r="S359" s="5">
        <v>1692412.0</v>
      </c>
      <c r="T359" s="3"/>
      <c r="U359" s="3"/>
      <c r="V359" s="3"/>
      <c r="W359" s="3"/>
      <c r="X359" s="3"/>
    </row>
    <row r="360">
      <c r="A360" s="3" t="s">
        <v>773</v>
      </c>
      <c r="B360" s="3" t="s">
        <v>774</v>
      </c>
      <c r="C360" s="3" t="s">
        <v>21</v>
      </c>
      <c r="D360" s="3" t="s">
        <v>22</v>
      </c>
      <c r="E360" s="3" t="s">
        <v>734</v>
      </c>
      <c r="F360" s="3" t="s">
        <v>24</v>
      </c>
      <c r="G360" s="3" t="s">
        <v>25</v>
      </c>
      <c r="H360" s="3" t="s">
        <v>24</v>
      </c>
      <c r="I360" s="3" t="s">
        <v>25</v>
      </c>
      <c r="J360" s="3" t="s">
        <v>24</v>
      </c>
      <c r="K360" s="3" t="s">
        <v>25</v>
      </c>
      <c r="L360" s="5">
        <v>205.0</v>
      </c>
      <c r="M360" s="5">
        <v>205.0</v>
      </c>
      <c r="N360" s="5">
        <v>200.0</v>
      </c>
      <c r="O360" s="5">
        <v>610.0</v>
      </c>
      <c r="P360" s="6">
        <v>44668.0</v>
      </c>
      <c r="Q360" s="3" t="s">
        <v>24</v>
      </c>
      <c r="R360" s="3" t="s">
        <v>25</v>
      </c>
      <c r="S360" s="5">
        <v>1286681.0</v>
      </c>
      <c r="T360" s="3"/>
      <c r="U360" s="3"/>
      <c r="V360" s="3"/>
      <c r="W360" s="3"/>
      <c r="X360" s="3"/>
    </row>
    <row r="361">
      <c r="A361" s="3" t="s">
        <v>775</v>
      </c>
      <c r="B361" s="3" t="s">
        <v>776</v>
      </c>
      <c r="C361" s="3" t="s">
        <v>21</v>
      </c>
      <c r="D361" s="3" t="s">
        <v>59</v>
      </c>
      <c r="E361" s="3" t="s">
        <v>734</v>
      </c>
      <c r="F361" s="3" t="s">
        <v>24</v>
      </c>
      <c r="G361" s="3" t="s">
        <v>25</v>
      </c>
      <c r="H361" s="3" t="s">
        <v>24</v>
      </c>
      <c r="I361" s="3" t="s">
        <v>25</v>
      </c>
      <c r="J361" s="3" t="s">
        <v>24</v>
      </c>
      <c r="K361" s="3" t="s">
        <v>25</v>
      </c>
      <c r="L361" s="5">
        <v>200.0</v>
      </c>
      <c r="M361" s="5">
        <v>200.0</v>
      </c>
      <c r="N361" s="5">
        <v>200.0</v>
      </c>
      <c r="O361" s="5">
        <v>600.0</v>
      </c>
      <c r="P361" s="6">
        <v>44722.0</v>
      </c>
      <c r="Q361" s="3" t="s">
        <v>24</v>
      </c>
      <c r="R361" s="3" t="s">
        <v>25</v>
      </c>
      <c r="S361" s="5">
        <v>1708341.0</v>
      </c>
      <c r="T361" s="3"/>
      <c r="U361" s="3"/>
      <c r="V361" s="3"/>
      <c r="W361" s="3"/>
      <c r="X361" s="3"/>
    </row>
    <row r="362">
      <c r="A362" s="3" t="s">
        <v>777</v>
      </c>
      <c r="B362" s="3" t="s">
        <v>778</v>
      </c>
      <c r="C362" s="3" t="s">
        <v>21</v>
      </c>
      <c r="D362" s="3" t="s">
        <v>22</v>
      </c>
      <c r="E362" s="3" t="s">
        <v>734</v>
      </c>
      <c r="F362" s="3" t="s">
        <v>30</v>
      </c>
      <c r="G362" s="3" t="s">
        <v>25</v>
      </c>
      <c r="H362" s="3" t="s">
        <v>24</v>
      </c>
      <c r="I362" s="3" t="s">
        <v>25</v>
      </c>
      <c r="J362" s="3" t="s">
        <v>24</v>
      </c>
      <c r="K362" s="3" t="s">
        <v>25</v>
      </c>
      <c r="L362" s="5">
        <v>305.0</v>
      </c>
      <c r="M362" s="5">
        <v>288.0</v>
      </c>
      <c r="N362" s="5">
        <v>250.0</v>
      </c>
      <c r="O362" s="5">
        <v>843.0</v>
      </c>
      <c r="P362" s="7">
        <v>44880.0</v>
      </c>
      <c r="Q362" s="3" t="s">
        <v>30</v>
      </c>
      <c r="R362" s="3" t="s">
        <v>25</v>
      </c>
      <c r="S362" s="5">
        <v>1674168.0</v>
      </c>
      <c r="T362" s="3"/>
      <c r="U362" s="3"/>
      <c r="V362" s="3"/>
      <c r="W362" s="3"/>
      <c r="X362" s="3"/>
    </row>
    <row r="363">
      <c r="A363" s="3" t="s">
        <v>779</v>
      </c>
      <c r="B363" s="3" t="s">
        <v>780</v>
      </c>
      <c r="C363" s="3" t="s">
        <v>21</v>
      </c>
      <c r="D363" s="3" t="s">
        <v>22</v>
      </c>
      <c r="E363" s="3" t="s">
        <v>734</v>
      </c>
      <c r="F363" s="3" t="s">
        <v>24</v>
      </c>
      <c r="G363" s="3" t="s">
        <v>25</v>
      </c>
      <c r="H363" s="3" t="s">
        <v>24</v>
      </c>
      <c r="I363" s="3" t="s">
        <v>25</v>
      </c>
      <c r="J363" s="3" t="s">
        <v>24</v>
      </c>
      <c r="K363" s="3" t="s">
        <v>25</v>
      </c>
      <c r="L363" s="5">
        <v>235.0</v>
      </c>
      <c r="M363" s="5">
        <v>209.0</v>
      </c>
      <c r="N363" s="5">
        <v>205.0</v>
      </c>
      <c r="O363" s="5">
        <v>649.0</v>
      </c>
      <c r="P363" s="6">
        <v>44872.0</v>
      </c>
      <c r="Q363" s="3" t="s">
        <v>24</v>
      </c>
      <c r="R363" s="3" t="s">
        <v>25</v>
      </c>
      <c r="S363" s="5">
        <v>1468174.0</v>
      </c>
      <c r="T363" s="3"/>
      <c r="U363" s="3"/>
      <c r="V363" s="3"/>
      <c r="W363" s="3"/>
      <c r="X363" s="3"/>
    </row>
    <row r="364">
      <c r="A364" s="3" t="s">
        <v>781</v>
      </c>
      <c r="B364" s="3" t="s">
        <v>782</v>
      </c>
      <c r="C364" s="3" t="s">
        <v>21</v>
      </c>
      <c r="D364" s="3" t="s">
        <v>59</v>
      </c>
      <c r="E364" s="3" t="s">
        <v>783</v>
      </c>
      <c r="F364" s="3" t="s">
        <v>28</v>
      </c>
      <c r="G364" s="3" t="s">
        <v>29</v>
      </c>
      <c r="H364" s="3" t="s">
        <v>30</v>
      </c>
      <c r="I364" s="3" t="s">
        <v>25</v>
      </c>
      <c r="J364" s="3" t="s">
        <v>30</v>
      </c>
      <c r="K364" s="3" t="s">
        <v>25</v>
      </c>
      <c r="L364" s="5">
        <v>545.0</v>
      </c>
      <c r="M364" s="5">
        <v>344.0</v>
      </c>
      <c r="N364" s="5">
        <v>308.0</v>
      </c>
      <c r="O364" s="5">
        <v>1197.0</v>
      </c>
      <c r="P364" s="6">
        <v>44668.0</v>
      </c>
      <c r="Q364" s="3" t="s">
        <v>31</v>
      </c>
      <c r="R364" s="3" t="s">
        <v>29</v>
      </c>
      <c r="S364" s="5">
        <v>773840.0</v>
      </c>
      <c r="T364" s="3"/>
      <c r="U364" s="3"/>
      <c r="V364" s="3"/>
      <c r="W364" s="3"/>
      <c r="X364" s="3"/>
    </row>
    <row r="365">
      <c r="A365" s="3" t="s">
        <v>784</v>
      </c>
      <c r="B365" s="3" t="s">
        <v>785</v>
      </c>
      <c r="C365" s="3" t="s">
        <v>21</v>
      </c>
      <c r="D365" s="3" t="s">
        <v>22</v>
      </c>
      <c r="E365" s="3" t="s">
        <v>783</v>
      </c>
      <c r="F365" s="3" t="s">
        <v>28</v>
      </c>
      <c r="G365" s="3" t="s">
        <v>29</v>
      </c>
      <c r="H365" s="3" t="s">
        <v>30</v>
      </c>
      <c r="I365" s="3" t="s">
        <v>25</v>
      </c>
      <c r="J365" s="3" t="s">
        <v>30</v>
      </c>
      <c r="K365" s="3" t="s">
        <v>25</v>
      </c>
      <c r="L365" s="5">
        <v>526.0</v>
      </c>
      <c r="M365" s="5">
        <v>310.0</v>
      </c>
      <c r="N365" s="5">
        <v>305.0</v>
      </c>
      <c r="O365" s="5">
        <v>1141.0</v>
      </c>
      <c r="P365" s="6">
        <v>44667.0</v>
      </c>
      <c r="Q365" s="3" t="s">
        <v>31</v>
      </c>
      <c r="R365" s="3" t="s">
        <v>29</v>
      </c>
      <c r="S365" s="5">
        <v>66740.0</v>
      </c>
      <c r="T365" s="3"/>
      <c r="U365" s="3"/>
      <c r="V365" s="3"/>
      <c r="W365" s="3"/>
      <c r="X365" s="3"/>
    </row>
    <row r="366">
      <c r="A366" s="3" t="s">
        <v>786</v>
      </c>
      <c r="B366" s="3" t="s">
        <v>787</v>
      </c>
      <c r="C366" s="3" t="s">
        <v>21</v>
      </c>
      <c r="D366" s="3" t="s">
        <v>22</v>
      </c>
      <c r="E366" s="3" t="s">
        <v>783</v>
      </c>
      <c r="F366" s="3" t="s">
        <v>28</v>
      </c>
      <c r="G366" s="3" t="s">
        <v>29</v>
      </c>
      <c r="H366" s="3" t="s">
        <v>30</v>
      </c>
      <c r="I366" s="3" t="s">
        <v>25</v>
      </c>
      <c r="J366" s="3" t="s">
        <v>30</v>
      </c>
      <c r="K366" s="3" t="s">
        <v>25</v>
      </c>
      <c r="L366" s="5">
        <v>533.0</v>
      </c>
      <c r="M366" s="5">
        <v>300.0</v>
      </c>
      <c r="N366" s="5">
        <v>300.0</v>
      </c>
      <c r="O366" s="5">
        <v>1133.0</v>
      </c>
      <c r="P366" s="6">
        <v>44722.0</v>
      </c>
      <c r="Q366" s="3" t="s">
        <v>31</v>
      </c>
      <c r="R366" s="3" t="s">
        <v>29</v>
      </c>
      <c r="S366" s="5">
        <v>40545.0</v>
      </c>
      <c r="T366" s="3"/>
      <c r="U366" s="3"/>
      <c r="V366" s="3"/>
      <c r="W366" s="3"/>
      <c r="X366" s="3"/>
    </row>
    <row r="367">
      <c r="A367" s="3" t="s">
        <v>788</v>
      </c>
      <c r="B367" s="3" t="s">
        <v>789</v>
      </c>
      <c r="C367" s="3" t="s">
        <v>21</v>
      </c>
      <c r="D367" s="3" t="s">
        <v>22</v>
      </c>
      <c r="E367" s="3" t="s">
        <v>790</v>
      </c>
      <c r="F367" s="3" t="s">
        <v>147</v>
      </c>
      <c r="G367" s="3" t="s">
        <v>148</v>
      </c>
      <c r="H367" s="3" t="s">
        <v>30</v>
      </c>
      <c r="I367" s="3" t="s">
        <v>25</v>
      </c>
      <c r="J367" s="3" t="s">
        <v>30</v>
      </c>
      <c r="K367" s="3" t="s">
        <v>25</v>
      </c>
      <c r="L367" s="5">
        <v>700.0</v>
      </c>
      <c r="M367" s="5">
        <v>300.0</v>
      </c>
      <c r="N367" s="5">
        <v>300.0</v>
      </c>
      <c r="O367" s="5">
        <v>1300.0</v>
      </c>
      <c r="P367" s="6">
        <v>44669.0</v>
      </c>
      <c r="Q367" s="3" t="s">
        <v>28</v>
      </c>
      <c r="R367" s="3" t="s">
        <v>29</v>
      </c>
      <c r="S367" s="5">
        <v>59558.0</v>
      </c>
      <c r="T367" s="3"/>
      <c r="U367" s="3"/>
      <c r="V367" s="3"/>
      <c r="W367" s="3"/>
      <c r="X367" s="3"/>
    </row>
    <row r="368">
      <c r="A368" s="3" t="s">
        <v>791</v>
      </c>
      <c r="B368" s="3" t="s">
        <v>792</v>
      </c>
      <c r="C368" s="3" t="s">
        <v>21</v>
      </c>
      <c r="D368" s="3" t="s">
        <v>22</v>
      </c>
      <c r="E368" s="3" t="s">
        <v>790</v>
      </c>
      <c r="F368" s="3" t="s">
        <v>28</v>
      </c>
      <c r="G368" s="3" t="s">
        <v>29</v>
      </c>
      <c r="H368" s="3" t="s">
        <v>30</v>
      </c>
      <c r="I368" s="3" t="s">
        <v>25</v>
      </c>
      <c r="J368" s="3" t="s">
        <v>30</v>
      </c>
      <c r="K368" s="3" t="s">
        <v>25</v>
      </c>
      <c r="L368" s="5">
        <v>540.0</v>
      </c>
      <c r="M368" s="5">
        <v>329.0</v>
      </c>
      <c r="N368" s="5">
        <v>340.0</v>
      </c>
      <c r="O368" s="5">
        <v>1209.0</v>
      </c>
      <c r="P368" s="6">
        <v>44872.0</v>
      </c>
      <c r="Q368" s="3" t="s">
        <v>28</v>
      </c>
      <c r="R368" s="3" t="s">
        <v>29</v>
      </c>
      <c r="S368" s="5">
        <v>21175.0</v>
      </c>
      <c r="T368" s="3"/>
      <c r="U368" s="3"/>
      <c r="V368" s="3"/>
      <c r="W368" s="3"/>
      <c r="X368" s="3"/>
    </row>
    <row r="369">
      <c r="A369" s="3" t="s">
        <v>793</v>
      </c>
      <c r="B369" s="3" t="s">
        <v>794</v>
      </c>
      <c r="C369" s="3" t="s">
        <v>21</v>
      </c>
      <c r="D369" s="3" t="s">
        <v>22</v>
      </c>
      <c r="E369" s="3" t="s">
        <v>790</v>
      </c>
      <c r="F369" s="3" t="s">
        <v>28</v>
      </c>
      <c r="G369" s="3" t="s">
        <v>29</v>
      </c>
      <c r="H369" s="3" t="s">
        <v>30</v>
      </c>
      <c r="I369" s="3" t="s">
        <v>25</v>
      </c>
      <c r="J369" s="3" t="s">
        <v>30</v>
      </c>
      <c r="K369" s="3" t="s">
        <v>25</v>
      </c>
      <c r="L369" s="5">
        <v>530.0</v>
      </c>
      <c r="M369" s="5">
        <v>344.0</v>
      </c>
      <c r="N369" s="5">
        <v>310.0</v>
      </c>
      <c r="O369" s="5">
        <v>1184.0</v>
      </c>
      <c r="P369" s="6">
        <v>44667.0</v>
      </c>
      <c r="Q369" s="3" t="s">
        <v>31</v>
      </c>
      <c r="R369" s="3" t="s">
        <v>29</v>
      </c>
      <c r="S369" s="5">
        <v>354190.0</v>
      </c>
      <c r="T369" s="3"/>
      <c r="U369" s="3"/>
      <c r="V369" s="3"/>
      <c r="W369" s="3"/>
      <c r="X369" s="3"/>
    </row>
    <row r="370">
      <c r="A370" s="3" t="s">
        <v>795</v>
      </c>
      <c r="B370" s="3" t="s">
        <v>796</v>
      </c>
      <c r="C370" s="3" t="s">
        <v>21</v>
      </c>
      <c r="D370" s="3" t="s">
        <v>59</v>
      </c>
      <c r="E370" s="3" t="s">
        <v>790</v>
      </c>
      <c r="F370" s="3" t="s">
        <v>28</v>
      </c>
      <c r="G370" s="3" t="s">
        <v>29</v>
      </c>
      <c r="H370" s="3" t="s">
        <v>30</v>
      </c>
      <c r="I370" s="3" t="s">
        <v>25</v>
      </c>
      <c r="J370" s="3" t="s">
        <v>30</v>
      </c>
      <c r="K370" s="3" t="s">
        <v>25</v>
      </c>
      <c r="L370" s="5">
        <v>555.0</v>
      </c>
      <c r="M370" s="5">
        <v>320.0</v>
      </c>
      <c r="N370" s="5">
        <v>300.0</v>
      </c>
      <c r="O370" s="5">
        <v>1175.0</v>
      </c>
      <c r="P370" s="6">
        <v>44669.0</v>
      </c>
      <c r="Q370" s="3" t="s">
        <v>31</v>
      </c>
      <c r="R370" s="3" t="s">
        <v>29</v>
      </c>
      <c r="S370" s="5">
        <v>1126328.0</v>
      </c>
      <c r="T370" s="3"/>
      <c r="U370" s="3"/>
      <c r="V370" s="3"/>
      <c r="W370" s="3"/>
      <c r="X370" s="3"/>
    </row>
    <row r="371">
      <c r="A371" s="3" t="s">
        <v>797</v>
      </c>
      <c r="B371" s="3" t="s">
        <v>798</v>
      </c>
      <c r="C371" s="3" t="s">
        <v>21</v>
      </c>
      <c r="D371" s="3" t="s">
        <v>22</v>
      </c>
      <c r="E371" s="3" t="s">
        <v>790</v>
      </c>
      <c r="F371" s="3" t="s">
        <v>28</v>
      </c>
      <c r="G371" s="3" t="s">
        <v>29</v>
      </c>
      <c r="H371" s="3" t="s">
        <v>30</v>
      </c>
      <c r="I371" s="3" t="s">
        <v>25</v>
      </c>
      <c r="J371" s="3" t="s">
        <v>30</v>
      </c>
      <c r="K371" s="3" t="s">
        <v>25</v>
      </c>
      <c r="L371" s="5">
        <v>518.0</v>
      </c>
      <c r="M371" s="5">
        <v>323.0</v>
      </c>
      <c r="N371" s="5">
        <v>310.0</v>
      </c>
      <c r="O371" s="5">
        <v>1151.0</v>
      </c>
      <c r="P371" s="6">
        <v>44667.0</v>
      </c>
      <c r="Q371" s="3" t="s">
        <v>31</v>
      </c>
      <c r="R371" s="3" t="s">
        <v>29</v>
      </c>
      <c r="S371" s="5">
        <v>5272.0</v>
      </c>
      <c r="T371" s="3"/>
      <c r="U371" s="3"/>
      <c r="V371" s="3"/>
      <c r="W371" s="3"/>
      <c r="X371" s="3"/>
    </row>
    <row r="372">
      <c r="A372" s="3" t="s">
        <v>799</v>
      </c>
      <c r="B372" s="3" t="s">
        <v>800</v>
      </c>
      <c r="C372" s="3" t="s">
        <v>21</v>
      </c>
      <c r="D372" s="3" t="s">
        <v>22</v>
      </c>
      <c r="E372" s="3" t="s">
        <v>790</v>
      </c>
      <c r="F372" s="3" t="s">
        <v>28</v>
      </c>
      <c r="G372" s="3" t="s">
        <v>29</v>
      </c>
      <c r="H372" s="3" t="s">
        <v>30</v>
      </c>
      <c r="I372" s="3" t="s">
        <v>25</v>
      </c>
      <c r="J372" s="3" t="s">
        <v>30</v>
      </c>
      <c r="K372" s="3" t="s">
        <v>25</v>
      </c>
      <c r="L372" s="5">
        <v>500.0</v>
      </c>
      <c r="M372" s="5">
        <v>322.0</v>
      </c>
      <c r="N372" s="5">
        <v>315.0</v>
      </c>
      <c r="O372" s="5">
        <v>1137.0</v>
      </c>
      <c r="P372" s="6">
        <v>44872.0</v>
      </c>
      <c r="Q372" s="3" t="s">
        <v>31</v>
      </c>
      <c r="R372" s="3" t="s">
        <v>29</v>
      </c>
      <c r="S372" s="5">
        <v>1224608.0</v>
      </c>
      <c r="T372" s="3"/>
      <c r="U372" s="3"/>
      <c r="V372" s="3"/>
      <c r="W372" s="3"/>
      <c r="X372" s="3"/>
    </row>
    <row r="373">
      <c r="A373" s="3" t="s">
        <v>801</v>
      </c>
      <c r="B373" s="3" t="s">
        <v>802</v>
      </c>
      <c r="C373" s="3" t="s">
        <v>21</v>
      </c>
      <c r="D373" s="3" t="s">
        <v>22</v>
      </c>
      <c r="E373" s="3" t="s">
        <v>790</v>
      </c>
      <c r="F373" s="3" t="s">
        <v>28</v>
      </c>
      <c r="G373" s="3" t="s">
        <v>29</v>
      </c>
      <c r="H373" s="3" t="s">
        <v>30</v>
      </c>
      <c r="I373" s="3" t="s">
        <v>25</v>
      </c>
      <c r="J373" s="3" t="s">
        <v>30</v>
      </c>
      <c r="K373" s="3" t="s">
        <v>25</v>
      </c>
      <c r="L373" s="5">
        <v>517.0</v>
      </c>
      <c r="M373" s="5">
        <v>305.0</v>
      </c>
      <c r="N373" s="5">
        <v>305.0</v>
      </c>
      <c r="O373" s="5">
        <v>1127.0</v>
      </c>
      <c r="P373" s="6">
        <v>44669.0</v>
      </c>
      <c r="Q373" s="3" t="s">
        <v>31</v>
      </c>
      <c r="R373" s="3" t="s">
        <v>29</v>
      </c>
      <c r="S373" s="5">
        <v>1099219.0</v>
      </c>
      <c r="T373" s="3"/>
      <c r="U373" s="3"/>
      <c r="V373" s="3"/>
      <c r="W373" s="3"/>
      <c r="X373" s="3"/>
    </row>
    <row r="374">
      <c r="A374" s="3" t="s">
        <v>803</v>
      </c>
      <c r="B374" s="3" t="s">
        <v>804</v>
      </c>
      <c r="C374" s="3" t="s">
        <v>21</v>
      </c>
      <c r="D374" s="3" t="s">
        <v>22</v>
      </c>
      <c r="E374" s="3" t="s">
        <v>790</v>
      </c>
      <c r="F374" s="3" t="s">
        <v>28</v>
      </c>
      <c r="G374" s="3" t="s">
        <v>29</v>
      </c>
      <c r="H374" s="3" t="s">
        <v>30</v>
      </c>
      <c r="I374" s="3" t="s">
        <v>25</v>
      </c>
      <c r="J374" s="3" t="s">
        <v>30</v>
      </c>
      <c r="K374" s="3" t="s">
        <v>25</v>
      </c>
      <c r="L374" s="5">
        <v>505.0</v>
      </c>
      <c r="M374" s="5">
        <v>303.0</v>
      </c>
      <c r="N374" s="5">
        <v>313.0</v>
      </c>
      <c r="O374" s="5">
        <v>1121.0</v>
      </c>
      <c r="P374" s="6">
        <v>44669.0</v>
      </c>
      <c r="Q374" s="3" t="s">
        <v>31</v>
      </c>
      <c r="R374" s="3" t="s">
        <v>29</v>
      </c>
      <c r="S374" s="5">
        <v>60086.0</v>
      </c>
      <c r="T374" s="3"/>
      <c r="U374" s="3"/>
      <c r="V374" s="3"/>
      <c r="W374" s="3"/>
      <c r="X374" s="3"/>
    </row>
    <row r="375">
      <c r="A375" s="3" t="s">
        <v>805</v>
      </c>
      <c r="B375" s="3" t="s">
        <v>806</v>
      </c>
      <c r="C375" s="3" t="s">
        <v>21</v>
      </c>
      <c r="D375" s="3" t="s">
        <v>22</v>
      </c>
      <c r="E375" s="3" t="s">
        <v>790</v>
      </c>
      <c r="F375" s="3" t="s">
        <v>28</v>
      </c>
      <c r="G375" s="3" t="s">
        <v>29</v>
      </c>
      <c r="H375" s="3" t="s">
        <v>30</v>
      </c>
      <c r="I375" s="3" t="s">
        <v>25</v>
      </c>
      <c r="J375" s="3" t="s">
        <v>30</v>
      </c>
      <c r="K375" s="3" t="s">
        <v>25</v>
      </c>
      <c r="L375" s="5">
        <v>500.0</v>
      </c>
      <c r="M375" s="5">
        <v>305.0</v>
      </c>
      <c r="N375" s="5">
        <v>305.0</v>
      </c>
      <c r="O375" s="5">
        <v>1110.0</v>
      </c>
      <c r="P375" s="6">
        <v>44668.0</v>
      </c>
      <c r="Q375" s="3" t="s">
        <v>31</v>
      </c>
      <c r="R375" s="3" t="s">
        <v>29</v>
      </c>
      <c r="S375" s="5">
        <v>874766.0</v>
      </c>
      <c r="T375" s="3"/>
      <c r="U375" s="3"/>
      <c r="V375" s="3"/>
      <c r="W375" s="3"/>
      <c r="X375" s="3"/>
    </row>
    <row r="376">
      <c r="A376" s="3" t="s">
        <v>807</v>
      </c>
      <c r="B376" s="3" t="s">
        <v>808</v>
      </c>
      <c r="C376" s="3" t="s">
        <v>21</v>
      </c>
      <c r="D376" s="3" t="s">
        <v>59</v>
      </c>
      <c r="E376" s="3" t="s">
        <v>790</v>
      </c>
      <c r="F376" s="3" t="s">
        <v>28</v>
      </c>
      <c r="G376" s="3" t="s">
        <v>29</v>
      </c>
      <c r="H376" s="3" t="s">
        <v>30</v>
      </c>
      <c r="I376" s="3" t="s">
        <v>25</v>
      </c>
      <c r="J376" s="3" t="s">
        <v>30</v>
      </c>
      <c r="K376" s="3" t="s">
        <v>25</v>
      </c>
      <c r="L376" s="5">
        <v>500.0</v>
      </c>
      <c r="M376" s="5">
        <v>300.0</v>
      </c>
      <c r="N376" s="5">
        <v>300.0</v>
      </c>
      <c r="O376" s="5">
        <v>1100.0</v>
      </c>
      <c r="P376" s="6">
        <v>44667.0</v>
      </c>
      <c r="Q376" s="3" t="s">
        <v>31</v>
      </c>
      <c r="R376" s="3" t="s">
        <v>29</v>
      </c>
      <c r="S376" s="5">
        <v>947484.0</v>
      </c>
      <c r="T376" s="3"/>
      <c r="U376" s="3"/>
      <c r="V376" s="3"/>
      <c r="W376" s="3"/>
      <c r="X376" s="3"/>
    </row>
    <row r="377">
      <c r="A377" s="3" t="s">
        <v>809</v>
      </c>
      <c r="B377" s="3" t="s">
        <v>810</v>
      </c>
      <c r="C377" s="3" t="s">
        <v>21</v>
      </c>
      <c r="D377" s="3" t="s">
        <v>22</v>
      </c>
      <c r="E377" s="3" t="s">
        <v>790</v>
      </c>
      <c r="F377" s="3" t="s">
        <v>28</v>
      </c>
      <c r="G377" s="3" t="s">
        <v>29</v>
      </c>
      <c r="H377" s="3" t="s">
        <v>30</v>
      </c>
      <c r="I377" s="3" t="s">
        <v>25</v>
      </c>
      <c r="J377" s="3" t="s">
        <v>30</v>
      </c>
      <c r="K377" s="3" t="s">
        <v>25</v>
      </c>
      <c r="L377" s="5">
        <v>500.0</v>
      </c>
      <c r="M377" s="5">
        <v>300.0</v>
      </c>
      <c r="N377" s="5">
        <v>300.0</v>
      </c>
      <c r="O377" s="5">
        <v>1100.0</v>
      </c>
      <c r="P377" s="6">
        <v>44669.0</v>
      </c>
      <c r="Q377" s="3" t="s">
        <v>31</v>
      </c>
      <c r="R377" s="3" t="s">
        <v>29</v>
      </c>
      <c r="S377" s="5">
        <v>62709.0</v>
      </c>
      <c r="T377" s="3"/>
      <c r="U377" s="3"/>
      <c r="V377" s="3"/>
      <c r="W377" s="3"/>
      <c r="X377" s="3"/>
    </row>
    <row r="378">
      <c r="A378" s="3" t="s">
        <v>811</v>
      </c>
      <c r="B378" s="3" t="s">
        <v>812</v>
      </c>
      <c r="C378" s="3" t="s">
        <v>21</v>
      </c>
      <c r="D378" s="3" t="s">
        <v>22</v>
      </c>
      <c r="E378" s="3" t="s">
        <v>790</v>
      </c>
      <c r="F378" s="3" t="s">
        <v>28</v>
      </c>
      <c r="G378" s="3" t="s">
        <v>29</v>
      </c>
      <c r="H378" s="3" t="s">
        <v>30</v>
      </c>
      <c r="I378" s="3" t="s">
        <v>25</v>
      </c>
      <c r="J378" s="3" t="s">
        <v>30</v>
      </c>
      <c r="K378" s="3" t="s">
        <v>25</v>
      </c>
      <c r="L378" s="5">
        <v>500.0</v>
      </c>
      <c r="M378" s="5">
        <v>300.0</v>
      </c>
      <c r="N378" s="5">
        <v>300.0</v>
      </c>
      <c r="O378" s="5">
        <v>1100.0</v>
      </c>
      <c r="P378" s="6">
        <v>44769.0</v>
      </c>
      <c r="Q378" s="3" t="s">
        <v>31</v>
      </c>
      <c r="R378" s="3" t="s">
        <v>29</v>
      </c>
      <c r="S378" s="5">
        <v>86312.0</v>
      </c>
      <c r="T378" s="3"/>
      <c r="U378" s="3"/>
      <c r="V378" s="3"/>
      <c r="W378" s="3"/>
      <c r="X378" s="3"/>
    </row>
    <row r="379">
      <c r="A379" s="3" t="s">
        <v>813</v>
      </c>
      <c r="B379" s="3" t="s">
        <v>814</v>
      </c>
      <c r="C379" s="3" t="s">
        <v>21</v>
      </c>
      <c r="D379" s="3" t="s">
        <v>22</v>
      </c>
      <c r="E379" s="3" t="s">
        <v>790</v>
      </c>
      <c r="F379" s="3" t="s">
        <v>28</v>
      </c>
      <c r="G379" s="3" t="s">
        <v>29</v>
      </c>
      <c r="H379" s="3" t="s">
        <v>24</v>
      </c>
      <c r="I379" s="3" t="s">
        <v>25</v>
      </c>
      <c r="J379" s="3" t="s">
        <v>30</v>
      </c>
      <c r="K379" s="3" t="s">
        <v>25</v>
      </c>
      <c r="L379" s="5">
        <v>505.0</v>
      </c>
      <c r="M379" s="5">
        <v>276.0</v>
      </c>
      <c r="N379" s="5">
        <v>305.0</v>
      </c>
      <c r="O379" s="5">
        <v>1086.0</v>
      </c>
      <c r="P379" s="6">
        <v>44668.0</v>
      </c>
      <c r="Q379" s="3" t="s">
        <v>31</v>
      </c>
      <c r="R379" s="3" t="s">
        <v>29</v>
      </c>
      <c r="S379" s="5">
        <v>1095073.0</v>
      </c>
      <c r="T379" s="3"/>
      <c r="U379" s="3"/>
      <c r="V379" s="3"/>
      <c r="W379" s="3"/>
      <c r="X379" s="3"/>
    </row>
    <row r="380">
      <c r="A380" s="3" t="s">
        <v>815</v>
      </c>
      <c r="B380" s="3" t="s">
        <v>816</v>
      </c>
      <c r="C380" s="3" t="s">
        <v>21</v>
      </c>
      <c r="D380" s="3" t="s">
        <v>22</v>
      </c>
      <c r="E380" s="3" t="s">
        <v>790</v>
      </c>
      <c r="F380" s="3" t="s">
        <v>31</v>
      </c>
      <c r="G380" s="3" t="s">
        <v>29</v>
      </c>
      <c r="H380" s="3" t="s">
        <v>30</v>
      </c>
      <c r="I380" s="3" t="s">
        <v>25</v>
      </c>
      <c r="J380" s="3" t="s">
        <v>24</v>
      </c>
      <c r="K380" s="3" t="s">
        <v>25</v>
      </c>
      <c r="L380" s="5">
        <v>485.0</v>
      </c>
      <c r="M380" s="5">
        <v>304.0</v>
      </c>
      <c r="N380" s="5">
        <v>288.0</v>
      </c>
      <c r="O380" s="5">
        <v>1077.0</v>
      </c>
      <c r="P380" s="6">
        <v>44667.0</v>
      </c>
      <c r="Q380" s="3" t="s">
        <v>31</v>
      </c>
      <c r="R380" s="3" t="s">
        <v>29</v>
      </c>
      <c r="S380" s="5">
        <v>315293.0</v>
      </c>
      <c r="T380" s="3"/>
      <c r="U380" s="3"/>
      <c r="V380" s="3"/>
      <c r="W380" s="3"/>
      <c r="X380" s="3"/>
    </row>
    <row r="381">
      <c r="A381" s="3" t="s">
        <v>817</v>
      </c>
      <c r="B381" s="3" t="s">
        <v>818</v>
      </c>
      <c r="C381" s="3" t="s">
        <v>21</v>
      </c>
      <c r="D381" s="3" t="s">
        <v>22</v>
      </c>
      <c r="E381" s="3" t="s">
        <v>790</v>
      </c>
      <c r="F381" s="3" t="s">
        <v>31</v>
      </c>
      <c r="G381" s="3" t="s">
        <v>29</v>
      </c>
      <c r="H381" s="3" t="s">
        <v>30</v>
      </c>
      <c r="I381" s="3" t="s">
        <v>25</v>
      </c>
      <c r="J381" s="3" t="s">
        <v>30</v>
      </c>
      <c r="K381" s="3" t="s">
        <v>25</v>
      </c>
      <c r="L381" s="5">
        <v>438.0</v>
      </c>
      <c r="M381" s="5">
        <v>316.0</v>
      </c>
      <c r="N381" s="5">
        <v>300.0</v>
      </c>
      <c r="O381" s="5">
        <v>1054.0</v>
      </c>
      <c r="P381" s="6">
        <v>44667.0</v>
      </c>
      <c r="Q381" s="3" t="s">
        <v>31</v>
      </c>
      <c r="R381" s="3" t="s">
        <v>29</v>
      </c>
      <c r="S381" s="5">
        <v>1267238.0</v>
      </c>
      <c r="T381" s="3"/>
      <c r="U381" s="3"/>
      <c r="V381" s="3"/>
      <c r="W381" s="3"/>
      <c r="X381" s="3"/>
    </row>
    <row r="382">
      <c r="A382" s="3" t="s">
        <v>819</v>
      </c>
      <c r="B382" s="3" t="s">
        <v>820</v>
      </c>
      <c r="C382" s="3" t="s">
        <v>21</v>
      </c>
      <c r="D382" s="3" t="s">
        <v>22</v>
      </c>
      <c r="E382" s="3" t="s">
        <v>790</v>
      </c>
      <c r="F382" s="3" t="s">
        <v>28</v>
      </c>
      <c r="G382" s="3" t="s">
        <v>29</v>
      </c>
      <c r="H382" s="3" t="s">
        <v>30</v>
      </c>
      <c r="I382" s="3" t="s">
        <v>25</v>
      </c>
      <c r="J382" s="3" t="s">
        <v>24</v>
      </c>
      <c r="K382" s="3" t="s">
        <v>25</v>
      </c>
      <c r="L382" s="5">
        <v>530.0</v>
      </c>
      <c r="M382" s="5">
        <v>300.0</v>
      </c>
      <c r="N382" s="5">
        <v>220.0</v>
      </c>
      <c r="O382" s="5">
        <v>1050.0</v>
      </c>
      <c r="P382" s="6">
        <v>44667.0</v>
      </c>
      <c r="Q382" s="3" t="s">
        <v>31</v>
      </c>
      <c r="R382" s="3" t="s">
        <v>29</v>
      </c>
      <c r="S382" s="5">
        <v>899051.0</v>
      </c>
      <c r="T382" s="3"/>
      <c r="U382" s="3"/>
      <c r="V382" s="3"/>
      <c r="W382" s="3"/>
      <c r="X382" s="3"/>
    </row>
    <row r="383">
      <c r="A383" s="3" t="s">
        <v>821</v>
      </c>
      <c r="B383" s="3" t="s">
        <v>822</v>
      </c>
      <c r="C383" s="3" t="s">
        <v>21</v>
      </c>
      <c r="D383" s="3" t="s">
        <v>22</v>
      </c>
      <c r="E383" s="3" t="s">
        <v>790</v>
      </c>
      <c r="F383" s="3" t="s">
        <v>31</v>
      </c>
      <c r="G383" s="3" t="s">
        <v>29</v>
      </c>
      <c r="H383" s="3" t="s">
        <v>30</v>
      </c>
      <c r="I383" s="3" t="s">
        <v>25</v>
      </c>
      <c r="J383" s="3" t="s">
        <v>30</v>
      </c>
      <c r="K383" s="3" t="s">
        <v>25</v>
      </c>
      <c r="L383" s="5">
        <v>405.0</v>
      </c>
      <c r="M383" s="5">
        <v>320.0</v>
      </c>
      <c r="N383" s="5">
        <v>300.0</v>
      </c>
      <c r="O383" s="5">
        <v>1025.0</v>
      </c>
      <c r="P383" s="6">
        <v>44667.0</v>
      </c>
      <c r="Q383" s="3" t="s">
        <v>31</v>
      </c>
      <c r="R383" s="3" t="s">
        <v>29</v>
      </c>
      <c r="S383" s="5">
        <v>79282.0</v>
      </c>
      <c r="T383" s="3"/>
      <c r="U383" s="3"/>
      <c r="V383" s="3"/>
      <c r="W383" s="3"/>
      <c r="X383" s="3"/>
    </row>
    <row r="384">
      <c r="A384" s="3" t="s">
        <v>823</v>
      </c>
      <c r="B384" s="3" t="s">
        <v>824</v>
      </c>
      <c r="C384" s="3" t="s">
        <v>21</v>
      </c>
      <c r="D384" s="3" t="s">
        <v>22</v>
      </c>
      <c r="E384" s="3" t="s">
        <v>790</v>
      </c>
      <c r="F384" s="3" t="s">
        <v>31</v>
      </c>
      <c r="G384" s="3" t="s">
        <v>29</v>
      </c>
      <c r="H384" s="3" t="s">
        <v>30</v>
      </c>
      <c r="I384" s="3" t="s">
        <v>25</v>
      </c>
      <c r="J384" s="3" t="s">
        <v>24</v>
      </c>
      <c r="K384" s="3" t="s">
        <v>25</v>
      </c>
      <c r="L384" s="5">
        <v>454.0</v>
      </c>
      <c r="M384" s="5">
        <v>300.0</v>
      </c>
      <c r="N384" s="5">
        <v>235.0</v>
      </c>
      <c r="O384" s="5">
        <v>989.0</v>
      </c>
      <c r="P384" s="6">
        <v>44667.0</v>
      </c>
      <c r="Q384" s="3" t="s">
        <v>31</v>
      </c>
      <c r="R384" s="3" t="s">
        <v>29</v>
      </c>
      <c r="S384" s="5">
        <v>4977.0</v>
      </c>
      <c r="T384" s="3"/>
      <c r="U384" s="3"/>
      <c r="V384" s="3"/>
      <c r="W384" s="3"/>
      <c r="X384" s="3"/>
    </row>
    <row r="385">
      <c r="A385" s="3" t="s">
        <v>825</v>
      </c>
      <c r="B385" s="3" t="s">
        <v>826</v>
      </c>
      <c r="C385" s="3" t="s">
        <v>21</v>
      </c>
      <c r="D385" s="3" t="s">
        <v>22</v>
      </c>
      <c r="E385" s="3" t="s">
        <v>790</v>
      </c>
      <c r="F385" s="3" t="s">
        <v>30</v>
      </c>
      <c r="G385" s="3" t="s">
        <v>25</v>
      </c>
      <c r="H385" s="3" t="s">
        <v>30</v>
      </c>
      <c r="I385" s="3" t="s">
        <v>25</v>
      </c>
      <c r="J385" s="3" t="s">
        <v>24</v>
      </c>
      <c r="K385" s="3" t="s">
        <v>25</v>
      </c>
      <c r="L385" s="5">
        <v>350.0</v>
      </c>
      <c r="M385" s="5">
        <v>355.0</v>
      </c>
      <c r="N385" s="5">
        <v>270.0</v>
      </c>
      <c r="O385" s="5">
        <v>975.0</v>
      </c>
      <c r="P385" s="6">
        <v>44670.0</v>
      </c>
      <c r="Q385" s="3" t="s">
        <v>31</v>
      </c>
      <c r="R385" s="3" t="s">
        <v>29</v>
      </c>
      <c r="S385" s="5">
        <v>80661.0</v>
      </c>
      <c r="T385" s="3"/>
      <c r="U385" s="3"/>
      <c r="V385" s="3"/>
      <c r="W385" s="3"/>
      <c r="X385" s="3"/>
    </row>
    <row r="386">
      <c r="A386" s="3" t="s">
        <v>827</v>
      </c>
      <c r="B386" s="3" t="s">
        <v>828</v>
      </c>
      <c r="C386" s="3" t="s">
        <v>21</v>
      </c>
      <c r="D386" s="3" t="s">
        <v>22</v>
      </c>
      <c r="E386" s="3" t="s">
        <v>790</v>
      </c>
      <c r="F386" s="3" t="s">
        <v>30</v>
      </c>
      <c r="G386" s="3" t="s">
        <v>25</v>
      </c>
      <c r="H386" s="3" t="s">
        <v>24</v>
      </c>
      <c r="I386" s="3" t="s">
        <v>25</v>
      </c>
      <c r="J386" s="3" t="s">
        <v>30</v>
      </c>
      <c r="K386" s="3" t="s">
        <v>25</v>
      </c>
      <c r="L386" s="5">
        <v>360.0</v>
      </c>
      <c r="M386" s="5">
        <v>294.0</v>
      </c>
      <c r="N386" s="5">
        <v>300.0</v>
      </c>
      <c r="O386" s="5">
        <v>954.0</v>
      </c>
      <c r="P386" s="6">
        <v>44670.0</v>
      </c>
      <c r="Q386" s="3" t="s">
        <v>31</v>
      </c>
      <c r="R386" s="3" t="s">
        <v>29</v>
      </c>
      <c r="S386" s="5">
        <v>11544.0</v>
      </c>
      <c r="T386" s="3"/>
      <c r="U386" s="3"/>
      <c r="V386" s="3"/>
      <c r="W386" s="3"/>
      <c r="X386" s="3"/>
    </row>
    <row r="387">
      <c r="A387" s="3" t="s">
        <v>829</v>
      </c>
      <c r="B387" s="3" t="s">
        <v>830</v>
      </c>
      <c r="C387" s="3" t="s">
        <v>21</v>
      </c>
      <c r="D387" s="3" t="s">
        <v>22</v>
      </c>
      <c r="E387" s="3" t="s">
        <v>790</v>
      </c>
      <c r="F387" s="3" t="s">
        <v>24</v>
      </c>
      <c r="G387" s="3" t="s">
        <v>25</v>
      </c>
      <c r="H387" s="3" t="s">
        <v>30</v>
      </c>
      <c r="I387" s="3" t="s">
        <v>25</v>
      </c>
      <c r="J387" s="3" t="s">
        <v>24</v>
      </c>
      <c r="K387" s="3" t="s">
        <v>25</v>
      </c>
      <c r="L387" s="5">
        <v>285.0</v>
      </c>
      <c r="M387" s="5">
        <v>300.0</v>
      </c>
      <c r="N387" s="5">
        <v>288.0</v>
      </c>
      <c r="O387" s="5">
        <v>873.0</v>
      </c>
      <c r="P387" s="6">
        <v>44670.0</v>
      </c>
      <c r="Q387" s="3" t="s">
        <v>30</v>
      </c>
      <c r="R387" s="3" t="s">
        <v>25</v>
      </c>
      <c r="S387" s="5">
        <v>1137774.0</v>
      </c>
      <c r="T387" s="3"/>
      <c r="U387" s="3"/>
      <c r="V387" s="3"/>
      <c r="W387" s="3"/>
      <c r="X387" s="3"/>
    </row>
    <row r="388">
      <c r="A388" s="3" t="s">
        <v>831</v>
      </c>
      <c r="B388" s="3" t="s">
        <v>832</v>
      </c>
      <c r="C388" s="3" t="s">
        <v>21</v>
      </c>
      <c r="D388" s="3" t="s">
        <v>22</v>
      </c>
      <c r="E388" s="3" t="s">
        <v>790</v>
      </c>
      <c r="F388" s="3" t="s">
        <v>24</v>
      </c>
      <c r="G388" s="3" t="s">
        <v>25</v>
      </c>
      <c r="H388" s="3" t="s">
        <v>24</v>
      </c>
      <c r="I388" s="3" t="s">
        <v>25</v>
      </c>
      <c r="J388" s="3" t="s">
        <v>30</v>
      </c>
      <c r="K388" s="3" t="s">
        <v>25</v>
      </c>
      <c r="L388" s="5">
        <v>205.0</v>
      </c>
      <c r="M388" s="5">
        <v>260.0</v>
      </c>
      <c r="N388" s="5">
        <v>300.0</v>
      </c>
      <c r="O388" s="5">
        <v>765.0</v>
      </c>
      <c r="P388" s="6">
        <v>44872.0</v>
      </c>
      <c r="Q388" s="3" t="s">
        <v>30</v>
      </c>
      <c r="R388" s="3" t="s">
        <v>25</v>
      </c>
      <c r="S388" s="5">
        <v>1400810.0</v>
      </c>
      <c r="T388" s="3"/>
      <c r="U388" s="3"/>
      <c r="V388" s="3"/>
      <c r="W388" s="3"/>
      <c r="X388" s="3"/>
    </row>
    <row r="389">
      <c r="A389" s="3" t="s">
        <v>833</v>
      </c>
      <c r="B389" s="3" t="s">
        <v>834</v>
      </c>
      <c r="C389" s="3" t="s">
        <v>21</v>
      </c>
      <c r="D389" s="3" t="s">
        <v>59</v>
      </c>
      <c r="E389" s="3" t="s">
        <v>790</v>
      </c>
      <c r="F389" s="3" t="s">
        <v>24</v>
      </c>
      <c r="G389" s="3" t="s">
        <v>25</v>
      </c>
      <c r="H389" s="3" t="s">
        <v>24</v>
      </c>
      <c r="I389" s="3" t="s">
        <v>25</v>
      </c>
      <c r="J389" s="3" t="s">
        <v>24</v>
      </c>
      <c r="K389" s="3" t="s">
        <v>25</v>
      </c>
      <c r="L389" s="5">
        <v>235.0</v>
      </c>
      <c r="M389" s="5">
        <v>275.0</v>
      </c>
      <c r="N389" s="5">
        <v>250.0</v>
      </c>
      <c r="O389" s="5">
        <v>760.0</v>
      </c>
      <c r="P389" s="6">
        <v>44667.0</v>
      </c>
      <c r="Q389" s="3" t="s">
        <v>30</v>
      </c>
      <c r="R389" s="3" t="s">
        <v>25</v>
      </c>
      <c r="S389" s="5">
        <v>20286.0</v>
      </c>
      <c r="T389" s="3"/>
      <c r="U389" s="3"/>
      <c r="V389" s="3"/>
      <c r="W389" s="3"/>
      <c r="X389" s="3"/>
    </row>
    <row r="390">
      <c r="A390" s="3" t="s">
        <v>835</v>
      </c>
      <c r="B390" s="3" t="s">
        <v>836</v>
      </c>
      <c r="C390" s="3" t="s">
        <v>21</v>
      </c>
      <c r="D390" s="3" t="s">
        <v>22</v>
      </c>
      <c r="E390" s="3" t="s">
        <v>790</v>
      </c>
      <c r="F390" s="3" t="s">
        <v>24</v>
      </c>
      <c r="G390" s="3" t="s">
        <v>25</v>
      </c>
      <c r="H390" s="3" t="s">
        <v>24</v>
      </c>
      <c r="I390" s="3" t="s">
        <v>25</v>
      </c>
      <c r="J390" s="3" t="s">
        <v>30</v>
      </c>
      <c r="K390" s="3" t="s">
        <v>25</v>
      </c>
      <c r="L390" s="5">
        <v>215.0</v>
      </c>
      <c r="M390" s="5">
        <v>240.0</v>
      </c>
      <c r="N390" s="5">
        <v>300.0</v>
      </c>
      <c r="O390" s="5">
        <v>755.0</v>
      </c>
      <c r="P390" s="6">
        <v>44667.0</v>
      </c>
      <c r="Q390" s="3" t="s">
        <v>30</v>
      </c>
      <c r="R390" s="3" t="s">
        <v>25</v>
      </c>
      <c r="S390" s="5">
        <v>775368.0</v>
      </c>
      <c r="T390" s="3"/>
      <c r="U390" s="3"/>
      <c r="V390" s="3"/>
      <c r="W390" s="3"/>
      <c r="X390" s="3"/>
    </row>
    <row r="391">
      <c r="A391" s="3" t="s">
        <v>837</v>
      </c>
      <c r="B391" s="3" t="s">
        <v>838</v>
      </c>
      <c r="C391" s="3" t="s">
        <v>21</v>
      </c>
      <c r="D391" s="3" t="s">
        <v>59</v>
      </c>
      <c r="E391" s="3" t="s">
        <v>790</v>
      </c>
      <c r="F391" s="3" t="s">
        <v>24</v>
      </c>
      <c r="G391" s="3" t="s">
        <v>25</v>
      </c>
      <c r="H391" s="3" t="s">
        <v>24</v>
      </c>
      <c r="I391" s="3" t="s">
        <v>25</v>
      </c>
      <c r="J391" s="3" t="s">
        <v>30</v>
      </c>
      <c r="K391" s="3" t="s">
        <v>25</v>
      </c>
      <c r="L391" s="5">
        <v>215.0</v>
      </c>
      <c r="M391" s="5">
        <v>233.0</v>
      </c>
      <c r="N391" s="5">
        <v>300.0</v>
      </c>
      <c r="O391" s="5">
        <v>748.0</v>
      </c>
      <c r="P391" s="6">
        <v>44668.0</v>
      </c>
      <c r="Q391" s="3" t="s">
        <v>24</v>
      </c>
      <c r="R391" s="3" t="s">
        <v>25</v>
      </c>
      <c r="S391" s="5">
        <v>819913.0</v>
      </c>
      <c r="T391" s="3"/>
      <c r="U391" s="3"/>
      <c r="V391" s="3"/>
      <c r="W391" s="3"/>
      <c r="X391" s="3"/>
    </row>
    <row r="392">
      <c r="A392" s="3" t="s">
        <v>839</v>
      </c>
      <c r="B392" s="3" t="s">
        <v>840</v>
      </c>
      <c r="C392" s="3" t="s">
        <v>21</v>
      </c>
      <c r="D392" s="3" t="s">
        <v>59</v>
      </c>
      <c r="E392" s="3" t="s">
        <v>790</v>
      </c>
      <c r="F392" s="3" t="s">
        <v>24</v>
      </c>
      <c r="G392" s="3" t="s">
        <v>25</v>
      </c>
      <c r="H392" s="3" t="s">
        <v>24</v>
      </c>
      <c r="I392" s="3" t="s">
        <v>25</v>
      </c>
      <c r="J392" s="3" t="s">
        <v>30</v>
      </c>
      <c r="K392" s="3" t="s">
        <v>25</v>
      </c>
      <c r="L392" s="5">
        <v>220.0</v>
      </c>
      <c r="M392" s="5">
        <v>221.0</v>
      </c>
      <c r="N392" s="5">
        <v>300.0</v>
      </c>
      <c r="O392" s="5">
        <v>741.0</v>
      </c>
      <c r="P392" s="6">
        <v>44667.0</v>
      </c>
      <c r="Q392" s="3" t="s">
        <v>24</v>
      </c>
      <c r="R392" s="3" t="s">
        <v>25</v>
      </c>
      <c r="S392" s="5">
        <v>8177.0</v>
      </c>
      <c r="T392" s="3"/>
      <c r="U392" s="3"/>
      <c r="V392" s="3"/>
      <c r="W392" s="3"/>
      <c r="X392" s="3"/>
    </row>
    <row r="393">
      <c r="A393" s="3" t="s">
        <v>841</v>
      </c>
      <c r="B393" s="3" t="s">
        <v>842</v>
      </c>
      <c r="C393" s="3" t="s">
        <v>21</v>
      </c>
      <c r="D393" s="3" t="s">
        <v>22</v>
      </c>
      <c r="E393" s="3" t="s">
        <v>790</v>
      </c>
      <c r="F393" s="3" t="s">
        <v>24</v>
      </c>
      <c r="G393" s="3" t="s">
        <v>25</v>
      </c>
      <c r="H393" s="3" t="s">
        <v>24</v>
      </c>
      <c r="I393" s="3" t="s">
        <v>25</v>
      </c>
      <c r="J393" s="3" t="s">
        <v>24</v>
      </c>
      <c r="K393" s="3" t="s">
        <v>25</v>
      </c>
      <c r="L393" s="5">
        <v>215.0</v>
      </c>
      <c r="M393" s="5">
        <v>238.0</v>
      </c>
      <c r="N393" s="5">
        <v>215.0</v>
      </c>
      <c r="O393" s="5">
        <v>668.0</v>
      </c>
      <c r="P393" s="6">
        <v>44719.0</v>
      </c>
      <c r="Q393" s="3" t="s">
        <v>24</v>
      </c>
      <c r="R393" s="3" t="s">
        <v>25</v>
      </c>
      <c r="S393" s="5">
        <v>320335.0</v>
      </c>
      <c r="T393" s="3"/>
      <c r="U393" s="3"/>
      <c r="V393" s="3"/>
      <c r="W393" s="3"/>
      <c r="X393" s="3"/>
    </row>
    <row r="394">
      <c r="A394" s="3" t="s">
        <v>843</v>
      </c>
      <c r="B394" s="3" t="s">
        <v>844</v>
      </c>
      <c r="C394" s="3" t="s">
        <v>21</v>
      </c>
      <c r="D394" s="3" t="s">
        <v>59</v>
      </c>
      <c r="E394" s="3" t="s">
        <v>845</v>
      </c>
      <c r="F394" s="3" t="s">
        <v>24</v>
      </c>
      <c r="G394" s="3" t="s">
        <v>25</v>
      </c>
      <c r="H394" s="3" t="s">
        <v>30</v>
      </c>
      <c r="I394" s="3" t="s">
        <v>25</v>
      </c>
      <c r="J394" s="3" t="s">
        <v>30</v>
      </c>
      <c r="K394" s="3" t="s">
        <v>25</v>
      </c>
      <c r="L394" s="5">
        <v>255.0</v>
      </c>
      <c r="M394" s="5">
        <v>301.0</v>
      </c>
      <c r="N394" s="5">
        <v>300.0</v>
      </c>
      <c r="O394" s="5">
        <v>856.0</v>
      </c>
      <c r="P394" s="6">
        <v>44668.0</v>
      </c>
      <c r="Q394" s="3" t="s">
        <v>30</v>
      </c>
      <c r="R394" s="3" t="s">
        <v>25</v>
      </c>
      <c r="S394" s="5">
        <v>46080.0</v>
      </c>
      <c r="T394" s="3"/>
      <c r="U394" s="3"/>
      <c r="V394" s="3"/>
      <c r="W394" s="3"/>
      <c r="X394" s="3"/>
    </row>
    <row r="395">
      <c r="A395" s="3" t="s">
        <v>846</v>
      </c>
      <c r="B395" s="3" t="s">
        <v>847</v>
      </c>
      <c r="C395" s="3" t="s">
        <v>21</v>
      </c>
      <c r="D395" s="3" t="s">
        <v>22</v>
      </c>
      <c r="E395" s="3" t="s">
        <v>845</v>
      </c>
      <c r="F395" s="3" t="s">
        <v>24</v>
      </c>
      <c r="G395" s="3" t="s">
        <v>25</v>
      </c>
      <c r="H395" s="3" t="s">
        <v>24</v>
      </c>
      <c r="I395" s="3" t="s">
        <v>25</v>
      </c>
      <c r="J395" s="3" t="s">
        <v>30</v>
      </c>
      <c r="K395" s="3" t="s">
        <v>25</v>
      </c>
      <c r="L395" s="5">
        <v>269.0</v>
      </c>
      <c r="M395" s="5">
        <v>253.0</v>
      </c>
      <c r="N395" s="5">
        <v>305.0</v>
      </c>
      <c r="O395" s="5">
        <v>827.0</v>
      </c>
      <c r="P395" s="6">
        <v>44723.0</v>
      </c>
      <c r="Q395" s="3" t="s">
        <v>30</v>
      </c>
      <c r="R395" s="3" t="s">
        <v>25</v>
      </c>
      <c r="S395" s="5">
        <v>1670592.0</v>
      </c>
      <c r="T395" s="3"/>
      <c r="U395" s="3"/>
      <c r="V395" s="3"/>
      <c r="W395" s="3"/>
      <c r="X395" s="3"/>
    </row>
    <row r="396">
      <c r="A396" s="3" t="s">
        <v>848</v>
      </c>
      <c r="B396" s="3" t="s">
        <v>849</v>
      </c>
      <c r="C396" s="3" t="s">
        <v>21</v>
      </c>
      <c r="D396" s="3" t="s">
        <v>59</v>
      </c>
      <c r="E396" s="3" t="s">
        <v>845</v>
      </c>
      <c r="F396" s="3" t="s">
        <v>24</v>
      </c>
      <c r="G396" s="3" t="s">
        <v>25</v>
      </c>
      <c r="H396" s="3" t="s">
        <v>24</v>
      </c>
      <c r="I396" s="3" t="s">
        <v>25</v>
      </c>
      <c r="J396" s="3" t="s">
        <v>24</v>
      </c>
      <c r="K396" s="3" t="s">
        <v>25</v>
      </c>
      <c r="L396" s="5">
        <v>233.0</v>
      </c>
      <c r="M396" s="5">
        <v>224.0</v>
      </c>
      <c r="N396" s="5">
        <v>200.0</v>
      </c>
      <c r="O396" s="5">
        <v>657.0</v>
      </c>
      <c r="P396" s="6">
        <v>44775.0</v>
      </c>
      <c r="Q396" s="3" t="s">
        <v>24</v>
      </c>
      <c r="R396" s="3" t="s">
        <v>25</v>
      </c>
      <c r="S396" s="5">
        <v>1015383.0</v>
      </c>
      <c r="T396" s="3"/>
      <c r="U396" s="3"/>
      <c r="V396" s="3"/>
      <c r="W396" s="3"/>
      <c r="X396" s="3"/>
    </row>
    <row r="397">
      <c r="A397" s="3" t="s">
        <v>850</v>
      </c>
      <c r="B397" s="3" t="s">
        <v>851</v>
      </c>
      <c r="C397" s="3" t="s">
        <v>21</v>
      </c>
      <c r="D397" s="3" t="s">
        <v>22</v>
      </c>
      <c r="E397" s="3" t="s">
        <v>852</v>
      </c>
      <c r="F397" s="3" t="s">
        <v>28</v>
      </c>
      <c r="G397" s="3" t="s">
        <v>29</v>
      </c>
      <c r="H397" s="3" t="s">
        <v>30</v>
      </c>
      <c r="I397" s="3" t="s">
        <v>25</v>
      </c>
      <c r="J397" s="3" t="s">
        <v>30</v>
      </c>
      <c r="K397" s="3" t="s">
        <v>25</v>
      </c>
      <c r="L397" s="5">
        <v>530.0</v>
      </c>
      <c r="M397" s="5">
        <v>344.0</v>
      </c>
      <c r="N397" s="5">
        <v>385.0</v>
      </c>
      <c r="O397" s="5">
        <v>1259.0</v>
      </c>
      <c r="P397" s="6">
        <v>44668.0</v>
      </c>
      <c r="Q397" s="3" t="s">
        <v>28</v>
      </c>
      <c r="R397" s="3" t="s">
        <v>29</v>
      </c>
      <c r="S397" s="5">
        <v>313616.0</v>
      </c>
      <c r="T397" s="3"/>
      <c r="U397" s="3"/>
      <c r="V397" s="3"/>
      <c r="W397" s="3"/>
      <c r="X397" s="3"/>
    </row>
    <row r="398">
      <c r="A398" s="3" t="s">
        <v>853</v>
      </c>
      <c r="B398" s="3" t="s">
        <v>854</v>
      </c>
      <c r="C398" s="3" t="s">
        <v>21</v>
      </c>
      <c r="D398" s="3" t="s">
        <v>59</v>
      </c>
      <c r="E398" s="3" t="s">
        <v>852</v>
      </c>
      <c r="F398" s="3" t="s">
        <v>28</v>
      </c>
      <c r="G398" s="3" t="s">
        <v>29</v>
      </c>
      <c r="H398" s="3" t="s">
        <v>30</v>
      </c>
      <c r="I398" s="3" t="s">
        <v>25</v>
      </c>
      <c r="J398" s="3" t="s">
        <v>30</v>
      </c>
      <c r="K398" s="3" t="s">
        <v>25</v>
      </c>
      <c r="L398" s="5">
        <v>540.0</v>
      </c>
      <c r="M398" s="5">
        <v>354.0</v>
      </c>
      <c r="N398" s="5">
        <v>345.0</v>
      </c>
      <c r="O398" s="5">
        <v>1239.0</v>
      </c>
      <c r="P398" s="6">
        <v>44722.0</v>
      </c>
      <c r="Q398" s="3" t="s">
        <v>28</v>
      </c>
      <c r="R398" s="3" t="s">
        <v>29</v>
      </c>
      <c r="S398" s="5">
        <v>1703057.0</v>
      </c>
      <c r="T398" s="3"/>
      <c r="U398" s="3"/>
      <c r="V398" s="3"/>
      <c r="W398" s="3"/>
      <c r="X398" s="3"/>
    </row>
    <row r="399">
      <c r="A399" s="3" t="s">
        <v>855</v>
      </c>
      <c r="B399" s="3" t="s">
        <v>856</v>
      </c>
      <c r="C399" s="3" t="s">
        <v>21</v>
      </c>
      <c r="D399" s="3" t="s">
        <v>22</v>
      </c>
      <c r="E399" s="3" t="s">
        <v>852</v>
      </c>
      <c r="F399" s="3" t="s">
        <v>28</v>
      </c>
      <c r="G399" s="3" t="s">
        <v>29</v>
      </c>
      <c r="H399" s="3" t="s">
        <v>30</v>
      </c>
      <c r="I399" s="3" t="s">
        <v>25</v>
      </c>
      <c r="J399" s="3" t="s">
        <v>30</v>
      </c>
      <c r="K399" s="3" t="s">
        <v>25</v>
      </c>
      <c r="L399" s="5">
        <v>540.0</v>
      </c>
      <c r="M399" s="5">
        <v>330.0</v>
      </c>
      <c r="N399" s="5">
        <v>305.0</v>
      </c>
      <c r="O399" s="5">
        <v>1175.0</v>
      </c>
      <c r="P399" s="6">
        <v>44671.0</v>
      </c>
      <c r="Q399" s="3" t="s">
        <v>31</v>
      </c>
      <c r="R399" s="3" t="s">
        <v>29</v>
      </c>
      <c r="S399" s="5">
        <v>105770.0</v>
      </c>
      <c r="T399" s="3"/>
      <c r="U399" s="3"/>
      <c r="V399" s="3"/>
      <c r="W399" s="3"/>
      <c r="X399" s="3"/>
    </row>
    <row r="400">
      <c r="A400" s="3" t="s">
        <v>857</v>
      </c>
      <c r="B400" s="3" t="s">
        <v>858</v>
      </c>
      <c r="C400" s="3" t="s">
        <v>21</v>
      </c>
      <c r="D400" s="3" t="s">
        <v>22</v>
      </c>
      <c r="E400" s="3" t="s">
        <v>852</v>
      </c>
      <c r="F400" s="3" t="s">
        <v>28</v>
      </c>
      <c r="G400" s="3" t="s">
        <v>29</v>
      </c>
      <c r="H400" s="3" t="s">
        <v>30</v>
      </c>
      <c r="I400" s="3" t="s">
        <v>25</v>
      </c>
      <c r="J400" s="3" t="s">
        <v>30</v>
      </c>
      <c r="K400" s="3" t="s">
        <v>25</v>
      </c>
      <c r="L400" s="5">
        <v>515.0</v>
      </c>
      <c r="M400" s="5">
        <v>316.0</v>
      </c>
      <c r="N400" s="5">
        <v>325.0</v>
      </c>
      <c r="O400" s="5">
        <v>1156.0</v>
      </c>
      <c r="P400" s="6">
        <v>44669.0</v>
      </c>
      <c r="Q400" s="3" t="s">
        <v>31</v>
      </c>
      <c r="R400" s="3" t="s">
        <v>29</v>
      </c>
      <c r="S400" s="5">
        <v>31791.0</v>
      </c>
      <c r="T400" s="3"/>
      <c r="U400" s="3"/>
      <c r="V400" s="3"/>
      <c r="W400" s="3"/>
      <c r="X400" s="3"/>
    </row>
    <row r="401">
      <c r="A401" s="3" t="s">
        <v>859</v>
      </c>
      <c r="B401" s="3" t="s">
        <v>860</v>
      </c>
      <c r="C401" s="3" t="s">
        <v>21</v>
      </c>
      <c r="D401" s="3" t="s">
        <v>22</v>
      </c>
      <c r="E401" s="3" t="s">
        <v>852</v>
      </c>
      <c r="F401" s="3" t="s">
        <v>28</v>
      </c>
      <c r="G401" s="3" t="s">
        <v>29</v>
      </c>
      <c r="H401" s="3" t="s">
        <v>30</v>
      </c>
      <c r="I401" s="3" t="s">
        <v>25</v>
      </c>
      <c r="J401" s="3" t="s">
        <v>24</v>
      </c>
      <c r="K401" s="3" t="s">
        <v>25</v>
      </c>
      <c r="L401" s="5">
        <v>527.0</v>
      </c>
      <c r="M401" s="5">
        <v>332.0</v>
      </c>
      <c r="N401" s="5">
        <v>280.0</v>
      </c>
      <c r="O401" s="5">
        <v>1139.0</v>
      </c>
      <c r="P401" s="6">
        <v>44670.0</v>
      </c>
      <c r="Q401" s="3" t="s">
        <v>31</v>
      </c>
      <c r="R401" s="3" t="s">
        <v>29</v>
      </c>
      <c r="S401" s="5">
        <v>97745.0</v>
      </c>
      <c r="T401" s="3"/>
      <c r="U401" s="3"/>
      <c r="V401" s="3"/>
      <c r="W401" s="3"/>
      <c r="X401" s="3"/>
    </row>
    <row r="402">
      <c r="A402" s="3" t="s">
        <v>861</v>
      </c>
      <c r="B402" s="3" t="s">
        <v>862</v>
      </c>
      <c r="C402" s="3" t="s">
        <v>21</v>
      </c>
      <c r="D402" s="3" t="s">
        <v>59</v>
      </c>
      <c r="E402" s="3" t="s">
        <v>852</v>
      </c>
      <c r="F402" s="3" t="s">
        <v>28</v>
      </c>
      <c r="G402" s="3" t="s">
        <v>29</v>
      </c>
      <c r="H402" s="3" t="s">
        <v>24</v>
      </c>
      <c r="I402" s="3" t="s">
        <v>25</v>
      </c>
      <c r="J402" s="3" t="s">
        <v>30</v>
      </c>
      <c r="K402" s="3" t="s">
        <v>25</v>
      </c>
      <c r="L402" s="5">
        <v>510.0</v>
      </c>
      <c r="M402" s="5">
        <v>268.0</v>
      </c>
      <c r="N402" s="5">
        <v>300.0</v>
      </c>
      <c r="O402" s="5">
        <v>1078.0</v>
      </c>
      <c r="P402" s="6">
        <v>44667.0</v>
      </c>
      <c r="Q402" s="3" t="s">
        <v>31</v>
      </c>
      <c r="R402" s="3" t="s">
        <v>29</v>
      </c>
      <c r="S402" s="5">
        <v>842023.0</v>
      </c>
      <c r="T402" s="3"/>
      <c r="U402" s="3"/>
      <c r="V402" s="3"/>
      <c r="W402" s="3"/>
      <c r="X402" s="3"/>
    </row>
    <row r="403">
      <c r="A403" s="3" t="s">
        <v>863</v>
      </c>
      <c r="B403" s="3" t="s">
        <v>864</v>
      </c>
      <c r="C403" s="3" t="s">
        <v>21</v>
      </c>
      <c r="D403" s="3" t="s">
        <v>22</v>
      </c>
      <c r="E403" s="3" t="s">
        <v>852</v>
      </c>
      <c r="F403" s="3" t="s">
        <v>28</v>
      </c>
      <c r="G403" s="3" t="s">
        <v>29</v>
      </c>
      <c r="H403" s="3" t="s">
        <v>30</v>
      </c>
      <c r="I403" s="3" t="s">
        <v>25</v>
      </c>
      <c r="J403" s="3" t="s">
        <v>24</v>
      </c>
      <c r="K403" s="3" t="s">
        <v>25</v>
      </c>
      <c r="L403" s="5">
        <v>510.0</v>
      </c>
      <c r="M403" s="5">
        <v>322.0</v>
      </c>
      <c r="N403" s="5">
        <v>235.0</v>
      </c>
      <c r="O403" s="5">
        <v>1067.0</v>
      </c>
      <c r="P403" s="6">
        <v>44667.0</v>
      </c>
      <c r="Q403" s="3" t="s">
        <v>31</v>
      </c>
      <c r="R403" s="3" t="s">
        <v>29</v>
      </c>
      <c r="S403" s="5">
        <v>1100682.0</v>
      </c>
      <c r="T403" s="3"/>
      <c r="U403" s="3"/>
      <c r="V403" s="3"/>
      <c r="W403" s="3"/>
      <c r="X403" s="3"/>
    </row>
    <row r="404">
      <c r="A404" s="3" t="s">
        <v>865</v>
      </c>
      <c r="B404" s="3" t="s">
        <v>866</v>
      </c>
      <c r="C404" s="3" t="s">
        <v>21</v>
      </c>
      <c r="D404" s="3" t="s">
        <v>22</v>
      </c>
      <c r="E404" s="3" t="s">
        <v>852</v>
      </c>
      <c r="F404" s="3" t="s">
        <v>28</v>
      </c>
      <c r="G404" s="3" t="s">
        <v>29</v>
      </c>
      <c r="H404" s="3" t="s">
        <v>30</v>
      </c>
      <c r="I404" s="3" t="s">
        <v>25</v>
      </c>
      <c r="J404" s="3" t="s">
        <v>24</v>
      </c>
      <c r="K404" s="3" t="s">
        <v>25</v>
      </c>
      <c r="L404" s="5">
        <v>505.0</v>
      </c>
      <c r="M404" s="5">
        <v>300.0</v>
      </c>
      <c r="N404" s="5">
        <v>240.0</v>
      </c>
      <c r="O404" s="5">
        <v>1045.0</v>
      </c>
      <c r="P404" s="6">
        <v>44669.0</v>
      </c>
      <c r="Q404" s="3" t="s">
        <v>31</v>
      </c>
      <c r="R404" s="3" t="s">
        <v>29</v>
      </c>
      <c r="S404" s="5">
        <v>1037646.0</v>
      </c>
      <c r="T404" s="3"/>
      <c r="U404" s="3"/>
      <c r="V404" s="3"/>
      <c r="W404" s="3"/>
      <c r="X404" s="3"/>
    </row>
    <row r="405">
      <c r="A405" s="3" t="s">
        <v>867</v>
      </c>
      <c r="B405" s="3" t="s">
        <v>868</v>
      </c>
      <c r="C405" s="3" t="s">
        <v>21</v>
      </c>
      <c r="D405" s="3" t="s">
        <v>22</v>
      </c>
      <c r="E405" s="3" t="s">
        <v>852</v>
      </c>
      <c r="F405" s="3" t="s">
        <v>28</v>
      </c>
      <c r="G405" s="3" t="s">
        <v>29</v>
      </c>
      <c r="H405" s="3" t="s">
        <v>24</v>
      </c>
      <c r="I405" s="3" t="s">
        <v>25</v>
      </c>
      <c r="J405" s="3" t="s">
        <v>24</v>
      </c>
      <c r="K405" s="3" t="s">
        <v>25</v>
      </c>
      <c r="L405" s="5">
        <v>573.0</v>
      </c>
      <c r="M405" s="5">
        <v>231.0</v>
      </c>
      <c r="N405" s="5">
        <v>233.0</v>
      </c>
      <c r="O405" s="5">
        <v>1037.0</v>
      </c>
      <c r="P405" s="6">
        <v>44667.0</v>
      </c>
      <c r="Q405" s="3" t="s">
        <v>31</v>
      </c>
      <c r="R405" s="3" t="s">
        <v>29</v>
      </c>
      <c r="S405" s="5">
        <v>1090872.0</v>
      </c>
      <c r="T405" s="3"/>
      <c r="U405" s="3"/>
      <c r="V405" s="3"/>
      <c r="W405" s="3"/>
      <c r="X405" s="3"/>
    </row>
    <row r="406">
      <c r="A406" s="3" t="s">
        <v>869</v>
      </c>
      <c r="B406" s="3" t="s">
        <v>870</v>
      </c>
      <c r="C406" s="3" t="s">
        <v>21</v>
      </c>
      <c r="D406" s="3" t="s">
        <v>59</v>
      </c>
      <c r="E406" s="3" t="s">
        <v>852</v>
      </c>
      <c r="F406" s="3" t="s">
        <v>28</v>
      </c>
      <c r="G406" s="3" t="s">
        <v>29</v>
      </c>
      <c r="H406" s="3" t="s">
        <v>30</v>
      </c>
      <c r="I406" s="3" t="s">
        <v>25</v>
      </c>
      <c r="J406" s="3" t="s">
        <v>24</v>
      </c>
      <c r="K406" s="3" t="s">
        <v>25</v>
      </c>
      <c r="L406" s="5">
        <v>512.0</v>
      </c>
      <c r="M406" s="5">
        <v>303.0</v>
      </c>
      <c r="N406" s="5">
        <v>215.0</v>
      </c>
      <c r="O406" s="5">
        <v>1030.0</v>
      </c>
      <c r="P406" s="6">
        <v>44722.0</v>
      </c>
      <c r="Q406" s="3" t="s">
        <v>31</v>
      </c>
      <c r="R406" s="3" t="s">
        <v>29</v>
      </c>
      <c r="S406" s="5">
        <v>1711933.0</v>
      </c>
      <c r="T406" s="3"/>
      <c r="U406" s="3"/>
      <c r="V406" s="3"/>
      <c r="W406" s="3"/>
      <c r="X406" s="3"/>
    </row>
    <row r="407">
      <c r="A407" s="3" t="s">
        <v>871</v>
      </c>
      <c r="B407" s="3" t="s">
        <v>872</v>
      </c>
      <c r="C407" s="3" t="s">
        <v>21</v>
      </c>
      <c r="D407" s="3" t="s">
        <v>59</v>
      </c>
      <c r="E407" s="3" t="s">
        <v>852</v>
      </c>
      <c r="F407" s="3" t="s">
        <v>24</v>
      </c>
      <c r="G407" s="3" t="s">
        <v>25</v>
      </c>
      <c r="H407" s="3" t="s">
        <v>30</v>
      </c>
      <c r="I407" s="3" t="s">
        <v>25</v>
      </c>
      <c r="J407" s="3" t="s">
        <v>24</v>
      </c>
      <c r="K407" s="3" t="s">
        <v>25</v>
      </c>
      <c r="L407" s="5">
        <v>260.0</v>
      </c>
      <c r="M407" s="5">
        <v>348.0</v>
      </c>
      <c r="N407" s="5">
        <v>260.0</v>
      </c>
      <c r="O407" s="5">
        <v>868.0</v>
      </c>
      <c r="P407" s="6">
        <v>44667.0</v>
      </c>
      <c r="Q407" s="3" t="s">
        <v>30</v>
      </c>
      <c r="R407" s="3" t="s">
        <v>25</v>
      </c>
      <c r="S407" s="5">
        <v>1478320.0</v>
      </c>
      <c r="T407" s="3"/>
      <c r="U407" s="3"/>
      <c r="V407" s="3"/>
      <c r="W407" s="3"/>
      <c r="X407" s="3"/>
    </row>
    <row r="408">
      <c r="A408" s="3" t="s">
        <v>873</v>
      </c>
      <c r="B408" s="3" t="s">
        <v>874</v>
      </c>
      <c r="C408" s="3" t="s">
        <v>21</v>
      </c>
      <c r="D408" s="3" t="s">
        <v>22</v>
      </c>
      <c r="E408" s="3" t="s">
        <v>852</v>
      </c>
      <c r="F408" s="3" t="s">
        <v>24</v>
      </c>
      <c r="G408" s="3" t="s">
        <v>25</v>
      </c>
      <c r="H408" s="3" t="s">
        <v>24</v>
      </c>
      <c r="I408" s="3" t="s">
        <v>25</v>
      </c>
      <c r="J408" s="3" t="s">
        <v>30</v>
      </c>
      <c r="K408" s="3" t="s">
        <v>25</v>
      </c>
      <c r="L408" s="5">
        <v>275.0</v>
      </c>
      <c r="M408" s="5">
        <v>227.0</v>
      </c>
      <c r="N408" s="5">
        <v>300.0</v>
      </c>
      <c r="O408" s="5">
        <v>802.0</v>
      </c>
      <c r="P408" s="6">
        <v>44667.0</v>
      </c>
      <c r="Q408" s="3" t="s">
        <v>30</v>
      </c>
      <c r="R408" s="3" t="s">
        <v>25</v>
      </c>
      <c r="S408" s="5">
        <v>12208.0</v>
      </c>
      <c r="T408" s="3"/>
      <c r="U408" s="3"/>
      <c r="V408" s="3"/>
      <c r="W408" s="3"/>
      <c r="X408" s="3"/>
    </row>
    <row r="409">
      <c r="A409" s="3" t="s">
        <v>875</v>
      </c>
      <c r="B409" s="3" t="s">
        <v>876</v>
      </c>
      <c r="C409" s="3" t="s">
        <v>21</v>
      </c>
      <c r="D409" s="3" t="s">
        <v>22</v>
      </c>
      <c r="E409" s="3" t="s">
        <v>852</v>
      </c>
      <c r="F409" s="3" t="s">
        <v>24</v>
      </c>
      <c r="G409" s="3" t="s">
        <v>25</v>
      </c>
      <c r="H409" s="3" t="s">
        <v>24</v>
      </c>
      <c r="I409" s="3" t="s">
        <v>25</v>
      </c>
      <c r="J409" s="3" t="s">
        <v>24</v>
      </c>
      <c r="K409" s="3" t="s">
        <v>25</v>
      </c>
      <c r="L409" s="5">
        <v>270.0</v>
      </c>
      <c r="M409" s="5">
        <v>292.0</v>
      </c>
      <c r="N409" s="5">
        <v>235.0</v>
      </c>
      <c r="O409" s="5">
        <v>797.0</v>
      </c>
      <c r="P409" s="6">
        <v>44670.0</v>
      </c>
      <c r="Q409" s="3" t="s">
        <v>30</v>
      </c>
      <c r="R409" s="3" t="s">
        <v>25</v>
      </c>
      <c r="S409" s="5">
        <v>1000697.0</v>
      </c>
      <c r="T409" s="3"/>
      <c r="U409" s="3"/>
      <c r="V409" s="3"/>
      <c r="W409" s="3"/>
      <c r="X409" s="3"/>
    </row>
    <row r="410">
      <c r="A410" s="3" t="s">
        <v>877</v>
      </c>
      <c r="B410" s="3" t="s">
        <v>878</v>
      </c>
      <c r="C410" s="3" t="s">
        <v>21</v>
      </c>
      <c r="D410" s="3" t="s">
        <v>59</v>
      </c>
      <c r="E410" s="3" t="s">
        <v>852</v>
      </c>
      <c r="F410" s="3" t="s">
        <v>24</v>
      </c>
      <c r="G410" s="3" t="s">
        <v>25</v>
      </c>
      <c r="H410" s="3" t="s">
        <v>24</v>
      </c>
      <c r="I410" s="3" t="s">
        <v>25</v>
      </c>
      <c r="J410" s="3" t="s">
        <v>30</v>
      </c>
      <c r="K410" s="3" t="s">
        <v>25</v>
      </c>
      <c r="L410" s="5">
        <v>250.0</v>
      </c>
      <c r="M410" s="5">
        <v>221.0</v>
      </c>
      <c r="N410" s="5">
        <v>300.0</v>
      </c>
      <c r="O410" s="5">
        <v>771.0</v>
      </c>
      <c r="P410" s="6">
        <v>44668.0</v>
      </c>
      <c r="Q410" s="3" t="s">
        <v>30</v>
      </c>
      <c r="R410" s="3" t="s">
        <v>25</v>
      </c>
      <c r="S410" s="5">
        <v>1123494.0</v>
      </c>
      <c r="T410" s="3"/>
      <c r="U410" s="3"/>
      <c r="V410" s="3"/>
      <c r="W410" s="3"/>
      <c r="X410" s="3"/>
    </row>
    <row r="411">
      <c r="A411" s="3" t="s">
        <v>879</v>
      </c>
      <c r="B411" s="3" t="s">
        <v>880</v>
      </c>
      <c r="C411" s="3" t="s">
        <v>21</v>
      </c>
      <c r="D411" s="3" t="s">
        <v>59</v>
      </c>
      <c r="E411" s="3" t="s">
        <v>852</v>
      </c>
      <c r="F411" s="3" t="s">
        <v>24</v>
      </c>
      <c r="G411" s="3" t="s">
        <v>25</v>
      </c>
      <c r="H411" s="3" t="s">
        <v>30</v>
      </c>
      <c r="I411" s="3" t="s">
        <v>25</v>
      </c>
      <c r="J411" s="3" t="s">
        <v>24</v>
      </c>
      <c r="K411" s="3" t="s">
        <v>25</v>
      </c>
      <c r="L411" s="5">
        <v>220.0</v>
      </c>
      <c r="M411" s="5">
        <v>300.0</v>
      </c>
      <c r="N411" s="5">
        <v>248.0</v>
      </c>
      <c r="O411" s="5">
        <v>768.0</v>
      </c>
      <c r="P411" s="6">
        <v>44672.0</v>
      </c>
      <c r="Q411" s="3" t="s">
        <v>30</v>
      </c>
      <c r="R411" s="3" t="s">
        <v>25</v>
      </c>
      <c r="S411" s="5">
        <v>1287098.0</v>
      </c>
      <c r="T411" s="3"/>
      <c r="U411" s="3"/>
      <c r="V411" s="3"/>
      <c r="W411" s="3"/>
      <c r="X411" s="3"/>
    </row>
    <row r="412">
      <c r="A412" s="3" t="s">
        <v>881</v>
      </c>
      <c r="B412" s="3" t="s">
        <v>882</v>
      </c>
      <c r="C412" s="3" t="s">
        <v>21</v>
      </c>
      <c r="D412" s="3" t="s">
        <v>59</v>
      </c>
      <c r="E412" s="3" t="s">
        <v>852</v>
      </c>
      <c r="F412" s="3" t="s">
        <v>24</v>
      </c>
      <c r="G412" s="3" t="s">
        <v>25</v>
      </c>
      <c r="H412" s="3" t="s">
        <v>24</v>
      </c>
      <c r="I412" s="3" t="s">
        <v>25</v>
      </c>
      <c r="J412" s="3" t="s">
        <v>24</v>
      </c>
      <c r="K412" s="3" t="s">
        <v>25</v>
      </c>
      <c r="L412" s="5">
        <v>205.0</v>
      </c>
      <c r="M412" s="5">
        <v>224.0</v>
      </c>
      <c r="N412" s="5">
        <v>230.0</v>
      </c>
      <c r="O412" s="5">
        <v>659.0</v>
      </c>
      <c r="P412" s="6">
        <v>44723.0</v>
      </c>
      <c r="Q412" s="3" t="s">
        <v>24</v>
      </c>
      <c r="R412" s="3" t="s">
        <v>25</v>
      </c>
      <c r="S412" s="5">
        <v>1672688.0</v>
      </c>
      <c r="T412" s="3"/>
      <c r="U412" s="3"/>
      <c r="V412" s="3"/>
      <c r="W412" s="3"/>
      <c r="X412" s="3"/>
    </row>
    <row r="413">
      <c r="A413" s="3" t="s">
        <v>883</v>
      </c>
      <c r="B413" s="3" t="s">
        <v>884</v>
      </c>
      <c r="C413" s="3" t="s">
        <v>21</v>
      </c>
      <c r="D413" s="3" t="s">
        <v>59</v>
      </c>
      <c r="E413" s="3" t="s">
        <v>885</v>
      </c>
      <c r="F413" s="3" t="s">
        <v>28</v>
      </c>
      <c r="G413" s="3" t="s">
        <v>29</v>
      </c>
      <c r="H413" s="3" t="s">
        <v>30</v>
      </c>
      <c r="I413" s="3" t="s">
        <v>25</v>
      </c>
      <c r="J413" s="3" t="s">
        <v>30</v>
      </c>
      <c r="K413" s="3" t="s">
        <v>25</v>
      </c>
      <c r="L413" s="5">
        <v>575.0</v>
      </c>
      <c r="M413" s="5">
        <v>330.0</v>
      </c>
      <c r="N413" s="5">
        <v>338.0</v>
      </c>
      <c r="O413" s="5">
        <v>1243.0</v>
      </c>
      <c r="P413" s="6">
        <v>44667.0</v>
      </c>
      <c r="Q413" s="3" t="s">
        <v>28</v>
      </c>
      <c r="R413" s="3" t="s">
        <v>29</v>
      </c>
      <c r="S413" s="5">
        <v>1043277.0</v>
      </c>
      <c r="T413" s="3"/>
      <c r="U413" s="3"/>
      <c r="V413" s="3"/>
      <c r="W413" s="3"/>
      <c r="X413" s="3"/>
    </row>
    <row r="414">
      <c r="A414" s="3" t="s">
        <v>886</v>
      </c>
      <c r="B414" s="3" t="s">
        <v>887</v>
      </c>
      <c r="C414" s="3" t="s">
        <v>21</v>
      </c>
      <c r="D414" s="3" t="s">
        <v>22</v>
      </c>
      <c r="E414" s="3" t="s">
        <v>885</v>
      </c>
      <c r="F414" s="3" t="s">
        <v>28</v>
      </c>
      <c r="G414" s="3" t="s">
        <v>29</v>
      </c>
      <c r="H414" s="3" t="s">
        <v>30</v>
      </c>
      <c r="I414" s="3" t="s">
        <v>25</v>
      </c>
      <c r="J414" s="3" t="s">
        <v>24</v>
      </c>
      <c r="K414" s="3" t="s">
        <v>25</v>
      </c>
      <c r="L414" s="5">
        <v>540.0</v>
      </c>
      <c r="M414" s="5">
        <v>374.0</v>
      </c>
      <c r="N414" s="5">
        <v>245.0</v>
      </c>
      <c r="O414" s="5">
        <v>1159.0</v>
      </c>
      <c r="P414" s="6">
        <v>44670.0</v>
      </c>
      <c r="Q414" s="3" t="s">
        <v>31</v>
      </c>
      <c r="R414" s="3" t="s">
        <v>29</v>
      </c>
      <c r="S414" s="5">
        <v>1090727.0</v>
      </c>
      <c r="T414" s="3"/>
      <c r="U414" s="3"/>
      <c r="V414" s="3"/>
      <c r="W414" s="3"/>
      <c r="X414" s="3"/>
    </row>
    <row r="415">
      <c r="A415" s="3" t="s">
        <v>888</v>
      </c>
      <c r="B415" s="3" t="s">
        <v>889</v>
      </c>
      <c r="C415" s="3" t="s">
        <v>21</v>
      </c>
      <c r="D415" s="3" t="s">
        <v>59</v>
      </c>
      <c r="E415" s="3" t="s">
        <v>885</v>
      </c>
      <c r="F415" s="3" t="s">
        <v>28</v>
      </c>
      <c r="G415" s="3" t="s">
        <v>29</v>
      </c>
      <c r="H415" s="3" t="s">
        <v>30</v>
      </c>
      <c r="I415" s="3" t="s">
        <v>25</v>
      </c>
      <c r="J415" s="3" t="s">
        <v>30</v>
      </c>
      <c r="K415" s="3" t="s">
        <v>25</v>
      </c>
      <c r="L415" s="5">
        <v>510.0</v>
      </c>
      <c r="M415" s="5">
        <v>302.0</v>
      </c>
      <c r="N415" s="5">
        <v>300.0</v>
      </c>
      <c r="O415" s="5">
        <v>1112.0</v>
      </c>
      <c r="P415" s="6">
        <v>44668.0</v>
      </c>
      <c r="Q415" s="3" t="s">
        <v>31</v>
      </c>
      <c r="R415" s="3" t="s">
        <v>29</v>
      </c>
      <c r="S415" s="5">
        <v>746515.0</v>
      </c>
      <c r="T415" s="3"/>
      <c r="U415" s="3"/>
      <c r="V415" s="3"/>
      <c r="W415" s="3"/>
      <c r="X415" s="3"/>
    </row>
    <row r="416">
      <c r="A416" s="3" t="s">
        <v>890</v>
      </c>
      <c r="B416" s="3" t="s">
        <v>891</v>
      </c>
      <c r="C416" s="3" t="s">
        <v>21</v>
      </c>
      <c r="D416" s="3" t="s">
        <v>59</v>
      </c>
      <c r="E416" s="3" t="s">
        <v>885</v>
      </c>
      <c r="F416" s="3" t="s">
        <v>28</v>
      </c>
      <c r="G416" s="3" t="s">
        <v>29</v>
      </c>
      <c r="H416" s="3" t="s">
        <v>24</v>
      </c>
      <c r="I416" s="3" t="s">
        <v>25</v>
      </c>
      <c r="J416" s="3" t="s">
        <v>24</v>
      </c>
      <c r="K416" s="3" t="s">
        <v>25</v>
      </c>
      <c r="L416" s="5">
        <v>520.0</v>
      </c>
      <c r="M416" s="5">
        <v>243.0</v>
      </c>
      <c r="N416" s="5">
        <v>237.0</v>
      </c>
      <c r="O416" s="5">
        <v>1000.0</v>
      </c>
      <c r="P416" s="6">
        <v>44667.0</v>
      </c>
      <c r="Q416" s="3" t="s">
        <v>31</v>
      </c>
      <c r="R416" s="3" t="s">
        <v>29</v>
      </c>
      <c r="S416" s="5">
        <v>1135185.0</v>
      </c>
      <c r="T416" s="3"/>
      <c r="U416" s="3"/>
      <c r="V416" s="3"/>
      <c r="W416" s="3"/>
      <c r="X416" s="3"/>
    </row>
    <row r="417">
      <c r="A417" s="3" t="s">
        <v>892</v>
      </c>
      <c r="B417" s="3" t="s">
        <v>893</v>
      </c>
      <c r="C417" s="3" t="s">
        <v>21</v>
      </c>
      <c r="D417" s="3" t="s">
        <v>22</v>
      </c>
      <c r="E417" s="3" t="s">
        <v>885</v>
      </c>
      <c r="F417" s="3" t="s">
        <v>30</v>
      </c>
      <c r="G417" s="3" t="s">
        <v>25</v>
      </c>
      <c r="H417" s="3" t="s">
        <v>24</v>
      </c>
      <c r="I417" s="3" t="s">
        <v>25</v>
      </c>
      <c r="J417" s="3" t="s">
        <v>24</v>
      </c>
      <c r="K417" s="3" t="s">
        <v>25</v>
      </c>
      <c r="L417" s="5">
        <v>335.0</v>
      </c>
      <c r="M417" s="5">
        <v>278.0</v>
      </c>
      <c r="N417" s="5">
        <v>255.0</v>
      </c>
      <c r="O417" s="5">
        <v>868.0</v>
      </c>
      <c r="P417" s="6">
        <v>44668.0</v>
      </c>
      <c r="Q417" s="3" t="s">
        <v>30</v>
      </c>
      <c r="R417" s="3" t="s">
        <v>25</v>
      </c>
      <c r="S417" s="5">
        <v>1048911.0</v>
      </c>
      <c r="T417" s="3"/>
      <c r="U417" s="3"/>
      <c r="V417" s="3"/>
      <c r="W417" s="3"/>
      <c r="X417" s="3"/>
    </row>
    <row r="418">
      <c r="A418" s="3" t="s">
        <v>894</v>
      </c>
      <c r="B418" s="3" t="s">
        <v>895</v>
      </c>
      <c r="C418" s="3" t="s">
        <v>21</v>
      </c>
      <c r="D418" s="3" t="s">
        <v>59</v>
      </c>
      <c r="E418" s="3" t="s">
        <v>885</v>
      </c>
      <c r="F418" s="3" t="s">
        <v>24</v>
      </c>
      <c r="G418" s="3" t="s">
        <v>25</v>
      </c>
      <c r="H418" s="3" t="s">
        <v>24</v>
      </c>
      <c r="I418" s="3" t="s">
        <v>25</v>
      </c>
      <c r="J418" s="3" t="s">
        <v>30</v>
      </c>
      <c r="K418" s="3" t="s">
        <v>25</v>
      </c>
      <c r="L418" s="5">
        <v>234.0</v>
      </c>
      <c r="M418" s="5">
        <v>210.0</v>
      </c>
      <c r="N418" s="5">
        <v>325.0</v>
      </c>
      <c r="O418" s="5">
        <v>769.0</v>
      </c>
      <c r="P418" s="6">
        <v>44667.0</v>
      </c>
      <c r="Q418" s="3" t="s">
        <v>30</v>
      </c>
      <c r="R418" s="3" t="s">
        <v>25</v>
      </c>
      <c r="S418" s="5">
        <v>353184.0</v>
      </c>
      <c r="T418" s="3"/>
      <c r="U418" s="3"/>
      <c r="V418" s="3"/>
      <c r="W418" s="3"/>
      <c r="X418" s="3"/>
    </row>
    <row r="419">
      <c r="A419" s="3" t="s">
        <v>896</v>
      </c>
      <c r="B419" s="3" t="s">
        <v>897</v>
      </c>
      <c r="C419" s="3" t="s">
        <v>21</v>
      </c>
      <c r="D419" s="3" t="s">
        <v>22</v>
      </c>
      <c r="E419" s="3" t="s">
        <v>898</v>
      </c>
      <c r="F419" s="3" t="s">
        <v>147</v>
      </c>
      <c r="G419" s="3" t="s">
        <v>148</v>
      </c>
      <c r="H419" s="3" t="s">
        <v>30</v>
      </c>
      <c r="I419" s="3" t="s">
        <v>25</v>
      </c>
      <c r="J419" s="3" t="s">
        <v>30</v>
      </c>
      <c r="K419" s="3" t="s">
        <v>25</v>
      </c>
      <c r="L419" s="5">
        <v>607.0</v>
      </c>
      <c r="M419" s="5">
        <v>311.0</v>
      </c>
      <c r="N419" s="5">
        <v>320.0</v>
      </c>
      <c r="O419" s="5">
        <v>1238.0</v>
      </c>
      <c r="P419" s="6">
        <v>44670.0</v>
      </c>
      <c r="Q419" s="3" t="s">
        <v>28</v>
      </c>
      <c r="R419" s="3" t="s">
        <v>29</v>
      </c>
      <c r="S419" s="5">
        <v>943452.0</v>
      </c>
      <c r="T419" s="3"/>
      <c r="U419" s="3"/>
      <c r="V419" s="3"/>
      <c r="W419" s="3"/>
      <c r="X419" s="3"/>
    </row>
    <row r="420">
      <c r="A420" s="3" t="s">
        <v>899</v>
      </c>
      <c r="B420" s="3" t="s">
        <v>900</v>
      </c>
      <c r="C420" s="3" t="s">
        <v>21</v>
      </c>
      <c r="D420" s="3" t="s">
        <v>59</v>
      </c>
      <c r="E420" s="3" t="s">
        <v>898</v>
      </c>
      <c r="F420" s="3" t="s">
        <v>28</v>
      </c>
      <c r="G420" s="3" t="s">
        <v>29</v>
      </c>
      <c r="H420" s="3" t="s">
        <v>30</v>
      </c>
      <c r="I420" s="3" t="s">
        <v>25</v>
      </c>
      <c r="J420" s="3" t="s">
        <v>30</v>
      </c>
      <c r="K420" s="3" t="s">
        <v>25</v>
      </c>
      <c r="L420" s="5">
        <v>568.0</v>
      </c>
      <c r="M420" s="5">
        <v>343.0</v>
      </c>
      <c r="N420" s="5">
        <v>305.0</v>
      </c>
      <c r="O420" s="5">
        <v>1216.0</v>
      </c>
      <c r="P420" s="6">
        <v>44669.0</v>
      </c>
      <c r="Q420" s="3" t="s">
        <v>28</v>
      </c>
      <c r="R420" s="3" t="s">
        <v>29</v>
      </c>
      <c r="S420" s="5">
        <v>75362.0</v>
      </c>
      <c r="T420" s="3"/>
      <c r="U420" s="3"/>
      <c r="V420" s="3"/>
      <c r="W420" s="3"/>
      <c r="X420" s="3"/>
    </row>
    <row r="421">
      <c r="A421" s="3" t="s">
        <v>901</v>
      </c>
      <c r="B421" s="3" t="s">
        <v>902</v>
      </c>
      <c r="C421" s="3" t="s">
        <v>21</v>
      </c>
      <c r="D421" s="3" t="s">
        <v>59</v>
      </c>
      <c r="E421" s="3" t="s">
        <v>898</v>
      </c>
      <c r="F421" s="3" t="s">
        <v>28</v>
      </c>
      <c r="G421" s="3" t="s">
        <v>29</v>
      </c>
      <c r="H421" s="3" t="s">
        <v>30</v>
      </c>
      <c r="I421" s="3" t="s">
        <v>25</v>
      </c>
      <c r="J421" s="3" t="s">
        <v>30</v>
      </c>
      <c r="K421" s="3" t="s">
        <v>25</v>
      </c>
      <c r="L421" s="5">
        <v>540.0</v>
      </c>
      <c r="M421" s="5">
        <v>361.0</v>
      </c>
      <c r="N421" s="5">
        <v>305.0</v>
      </c>
      <c r="O421" s="5">
        <v>1206.0</v>
      </c>
      <c r="P421" s="6">
        <v>44722.0</v>
      </c>
      <c r="Q421" s="3" t="s">
        <v>28</v>
      </c>
      <c r="R421" s="3" t="s">
        <v>29</v>
      </c>
      <c r="S421" s="5">
        <v>1800637.0</v>
      </c>
      <c r="T421" s="3"/>
      <c r="U421" s="3"/>
      <c r="V421" s="3"/>
      <c r="W421" s="3"/>
      <c r="X421" s="3"/>
    </row>
    <row r="422">
      <c r="A422" s="3" t="s">
        <v>903</v>
      </c>
      <c r="B422" s="3" t="s">
        <v>904</v>
      </c>
      <c r="C422" s="3" t="s">
        <v>21</v>
      </c>
      <c r="D422" s="3" t="s">
        <v>22</v>
      </c>
      <c r="E422" s="3" t="s">
        <v>898</v>
      </c>
      <c r="F422" s="3" t="s">
        <v>28</v>
      </c>
      <c r="G422" s="3" t="s">
        <v>29</v>
      </c>
      <c r="H422" s="3" t="s">
        <v>30</v>
      </c>
      <c r="I422" s="3" t="s">
        <v>25</v>
      </c>
      <c r="J422" s="3" t="s">
        <v>30</v>
      </c>
      <c r="K422" s="3" t="s">
        <v>25</v>
      </c>
      <c r="L422" s="5">
        <v>560.0</v>
      </c>
      <c r="M422" s="5">
        <v>339.0</v>
      </c>
      <c r="N422" s="5">
        <v>305.0</v>
      </c>
      <c r="O422" s="5">
        <v>1204.0</v>
      </c>
      <c r="P422" s="6">
        <v>44668.0</v>
      </c>
      <c r="Q422" s="3" t="s">
        <v>28</v>
      </c>
      <c r="R422" s="3" t="s">
        <v>29</v>
      </c>
      <c r="S422" s="5">
        <v>315189.0</v>
      </c>
      <c r="T422" s="3"/>
      <c r="U422" s="3"/>
      <c r="V422" s="3"/>
      <c r="W422" s="3"/>
      <c r="X422" s="3"/>
    </row>
    <row r="423">
      <c r="A423" s="3" t="s">
        <v>905</v>
      </c>
      <c r="B423" s="3" t="s">
        <v>906</v>
      </c>
      <c r="C423" s="3" t="s">
        <v>21</v>
      </c>
      <c r="D423" s="3" t="s">
        <v>22</v>
      </c>
      <c r="E423" s="3" t="s">
        <v>898</v>
      </c>
      <c r="F423" s="3" t="s">
        <v>28</v>
      </c>
      <c r="G423" s="3" t="s">
        <v>29</v>
      </c>
      <c r="H423" s="3" t="s">
        <v>30</v>
      </c>
      <c r="I423" s="3" t="s">
        <v>25</v>
      </c>
      <c r="J423" s="3" t="s">
        <v>30</v>
      </c>
      <c r="K423" s="3" t="s">
        <v>25</v>
      </c>
      <c r="L423" s="5">
        <v>540.0</v>
      </c>
      <c r="M423" s="5">
        <v>326.0</v>
      </c>
      <c r="N423" s="5">
        <v>305.0</v>
      </c>
      <c r="O423" s="5">
        <v>1171.0</v>
      </c>
      <c r="P423" s="6">
        <v>44668.0</v>
      </c>
      <c r="Q423" s="3" t="s">
        <v>31</v>
      </c>
      <c r="R423" s="3" t="s">
        <v>29</v>
      </c>
      <c r="S423" s="5">
        <v>1659166.0</v>
      </c>
      <c r="T423" s="3"/>
      <c r="U423" s="3"/>
      <c r="V423" s="3"/>
      <c r="W423" s="3"/>
      <c r="X423" s="3"/>
    </row>
    <row r="424">
      <c r="A424" s="3" t="s">
        <v>907</v>
      </c>
      <c r="B424" s="3" t="s">
        <v>908</v>
      </c>
      <c r="C424" s="3" t="s">
        <v>21</v>
      </c>
      <c r="D424" s="3" t="s">
        <v>22</v>
      </c>
      <c r="E424" s="3" t="s">
        <v>898</v>
      </c>
      <c r="F424" s="3" t="s">
        <v>28</v>
      </c>
      <c r="G424" s="3" t="s">
        <v>29</v>
      </c>
      <c r="H424" s="3" t="s">
        <v>30</v>
      </c>
      <c r="I424" s="3" t="s">
        <v>25</v>
      </c>
      <c r="J424" s="3" t="s">
        <v>30</v>
      </c>
      <c r="K424" s="3" t="s">
        <v>25</v>
      </c>
      <c r="L424" s="5">
        <v>555.0</v>
      </c>
      <c r="M424" s="5">
        <v>315.0</v>
      </c>
      <c r="N424" s="5">
        <v>300.0</v>
      </c>
      <c r="O424" s="5">
        <v>1170.0</v>
      </c>
      <c r="P424" s="6">
        <v>44670.0</v>
      </c>
      <c r="Q424" s="3" t="s">
        <v>31</v>
      </c>
      <c r="R424" s="3" t="s">
        <v>29</v>
      </c>
      <c r="S424" s="5">
        <v>93556.0</v>
      </c>
      <c r="T424" s="3"/>
      <c r="U424" s="3"/>
      <c r="V424" s="3"/>
      <c r="W424" s="3"/>
      <c r="X424" s="3"/>
    </row>
    <row r="425">
      <c r="A425" s="3" t="s">
        <v>909</v>
      </c>
      <c r="B425" s="3" t="s">
        <v>910</v>
      </c>
      <c r="C425" s="3" t="s">
        <v>21</v>
      </c>
      <c r="D425" s="3" t="s">
        <v>22</v>
      </c>
      <c r="E425" s="3" t="s">
        <v>898</v>
      </c>
      <c r="F425" s="3" t="s">
        <v>28</v>
      </c>
      <c r="G425" s="3" t="s">
        <v>29</v>
      </c>
      <c r="H425" s="3" t="s">
        <v>30</v>
      </c>
      <c r="I425" s="3" t="s">
        <v>25</v>
      </c>
      <c r="J425" s="3" t="s">
        <v>24</v>
      </c>
      <c r="K425" s="3" t="s">
        <v>25</v>
      </c>
      <c r="L425" s="5">
        <v>535.0</v>
      </c>
      <c r="M425" s="5">
        <v>391.0</v>
      </c>
      <c r="N425" s="5">
        <v>240.0</v>
      </c>
      <c r="O425" s="5">
        <v>1166.0</v>
      </c>
      <c r="P425" s="6">
        <v>44723.0</v>
      </c>
      <c r="Q425" s="3" t="s">
        <v>31</v>
      </c>
      <c r="R425" s="3" t="s">
        <v>29</v>
      </c>
      <c r="S425" s="5">
        <v>1802749.0</v>
      </c>
      <c r="T425" s="3"/>
      <c r="U425" s="3"/>
      <c r="V425" s="3"/>
      <c r="W425" s="3"/>
      <c r="X425" s="3"/>
    </row>
    <row r="426">
      <c r="A426" s="3" t="s">
        <v>911</v>
      </c>
      <c r="B426" s="3" t="s">
        <v>912</v>
      </c>
      <c r="C426" s="3" t="s">
        <v>21</v>
      </c>
      <c r="D426" s="3" t="s">
        <v>59</v>
      </c>
      <c r="E426" s="3" t="s">
        <v>898</v>
      </c>
      <c r="F426" s="3" t="s">
        <v>28</v>
      </c>
      <c r="G426" s="3" t="s">
        <v>29</v>
      </c>
      <c r="H426" s="3" t="s">
        <v>30</v>
      </c>
      <c r="I426" s="3" t="s">
        <v>25</v>
      </c>
      <c r="J426" s="3" t="s">
        <v>30</v>
      </c>
      <c r="K426" s="3" t="s">
        <v>25</v>
      </c>
      <c r="L426" s="5">
        <v>525.0</v>
      </c>
      <c r="M426" s="5">
        <v>315.0</v>
      </c>
      <c r="N426" s="5">
        <v>305.0</v>
      </c>
      <c r="O426" s="5">
        <v>1145.0</v>
      </c>
      <c r="P426" s="6">
        <v>44667.0</v>
      </c>
      <c r="Q426" s="3" t="s">
        <v>31</v>
      </c>
      <c r="R426" s="3" t="s">
        <v>29</v>
      </c>
      <c r="S426" s="5">
        <v>1374535.0</v>
      </c>
      <c r="T426" s="3"/>
      <c r="U426" s="3"/>
      <c r="V426" s="3"/>
      <c r="W426" s="3"/>
      <c r="X426" s="3"/>
    </row>
    <row r="427">
      <c r="A427" s="3" t="s">
        <v>913</v>
      </c>
      <c r="B427" s="3" t="s">
        <v>914</v>
      </c>
      <c r="C427" s="3" t="s">
        <v>21</v>
      </c>
      <c r="D427" s="3" t="s">
        <v>22</v>
      </c>
      <c r="E427" s="3" t="s">
        <v>898</v>
      </c>
      <c r="F427" s="3" t="s">
        <v>31</v>
      </c>
      <c r="G427" s="3" t="s">
        <v>29</v>
      </c>
      <c r="H427" s="3" t="s">
        <v>30</v>
      </c>
      <c r="I427" s="3" t="s">
        <v>25</v>
      </c>
      <c r="J427" s="3" t="s">
        <v>30</v>
      </c>
      <c r="K427" s="3" t="s">
        <v>25</v>
      </c>
      <c r="L427" s="5">
        <v>489.0</v>
      </c>
      <c r="M427" s="5">
        <v>349.0</v>
      </c>
      <c r="N427" s="5">
        <v>300.0</v>
      </c>
      <c r="O427" s="5">
        <v>1138.0</v>
      </c>
      <c r="P427" s="6">
        <v>44872.0</v>
      </c>
      <c r="Q427" s="3" t="s">
        <v>31</v>
      </c>
      <c r="R427" s="3" t="s">
        <v>29</v>
      </c>
      <c r="S427" s="5">
        <v>1417398.0</v>
      </c>
      <c r="T427" s="3"/>
      <c r="U427" s="3"/>
      <c r="V427" s="3"/>
      <c r="W427" s="3"/>
      <c r="X427" s="3"/>
    </row>
    <row r="428">
      <c r="A428" s="3" t="s">
        <v>915</v>
      </c>
      <c r="B428" s="3" t="s">
        <v>916</v>
      </c>
      <c r="C428" s="3" t="s">
        <v>21</v>
      </c>
      <c r="D428" s="3" t="s">
        <v>22</v>
      </c>
      <c r="E428" s="3" t="s">
        <v>898</v>
      </c>
      <c r="F428" s="3" t="s">
        <v>28</v>
      </c>
      <c r="G428" s="3" t="s">
        <v>29</v>
      </c>
      <c r="H428" s="3" t="s">
        <v>30</v>
      </c>
      <c r="I428" s="3" t="s">
        <v>25</v>
      </c>
      <c r="J428" s="3" t="s">
        <v>30</v>
      </c>
      <c r="K428" s="3" t="s">
        <v>25</v>
      </c>
      <c r="L428" s="5">
        <v>510.0</v>
      </c>
      <c r="M428" s="5">
        <v>320.0</v>
      </c>
      <c r="N428" s="5">
        <v>300.0</v>
      </c>
      <c r="O428" s="5">
        <v>1130.0</v>
      </c>
      <c r="P428" s="6">
        <v>44668.0</v>
      </c>
      <c r="Q428" s="3" t="s">
        <v>31</v>
      </c>
      <c r="R428" s="3" t="s">
        <v>29</v>
      </c>
      <c r="S428" s="5">
        <v>26172.0</v>
      </c>
      <c r="T428" s="3"/>
      <c r="U428" s="3"/>
      <c r="V428" s="3"/>
      <c r="W428" s="3"/>
      <c r="X428" s="3"/>
    </row>
    <row r="429">
      <c r="A429" s="3" t="s">
        <v>917</v>
      </c>
      <c r="B429" s="3" t="s">
        <v>918</v>
      </c>
      <c r="C429" s="3" t="s">
        <v>21</v>
      </c>
      <c r="D429" s="3" t="s">
        <v>22</v>
      </c>
      <c r="E429" s="3" t="s">
        <v>898</v>
      </c>
      <c r="F429" s="3" t="s">
        <v>28</v>
      </c>
      <c r="G429" s="3" t="s">
        <v>29</v>
      </c>
      <c r="H429" s="3" t="s">
        <v>30</v>
      </c>
      <c r="I429" s="3" t="s">
        <v>25</v>
      </c>
      <c r="J429" s="3" t="s">
        <v>30</v>
      </c>
      <c r="K429" s="3" t="s">
        <v>25</v>
      </c>
      <c r="L429" s="5">
        <v>500.0</v>
      </c>
      <c r="M429" s="5">
        <v>320.0</v>
      </c>
      <c r="N429" s="5">
        <v>305.0</v>
      </c>
      <c r="O429" s="5">
        <v>1125.0</v>
      </c>
      <c r="P429" s="6">
        <v>44668.0</v>
      </c>
      <c r="Q429" s="3" t="s">
        <v>31</v>
      </c>
      <c r="R429" s="3" t="s">
        <v>29</v>
      </c>
      <c r="S429" s="5">
        <v>29905.0</v>
      </c>
      <c r="T429" s="3"/>
      <c r="U429" s="3"/>
      <c r="V429" s="3"/>
      <c r="W429" s="3"/>
      <c r="X429" s="3"/>
    </row>
    <row r="430">
      <c r="A430" s="3" t="s">
        <v>919</v>
      </c>
      <c r="B430" s="3" t="s">
        <v>920</v>
      </c>
      <c r="C430" s="3" t="s">
        <v>21</v>
      </c>
      <c r="D430" s="3" t="s">
        <v>59</v>
      </c>
      <c r="E430" s="3" t="s">
        <v>898</v>
      </c>
      <c r="F430" s="3" t="s">
        <v>28</v>
      </c>
      <c r="G430" s="3" t="s">
        <v>29</v>
      </c>
      <c r="H430" s="3" t="s">
        <v>30</v>
      </c>
      <c r="I430" s="3" t="s">
        <v>25</v>
      </c>
      <c r="J430" s="3" t="s">
        <v>24</v>
      </c>
      <c r="K430" s="3" t="s">
        <v>25</v>
      </c>
      <c r="L430" s="5">
        <v>510.0</v>
      </c>
      <c r="M430" s="5">
        <v>303.0</v>
      </c>
      <c r="N430" s="5">
        <v>275.0</v>
      </c>
      <c r="O430" s="5">
        <v>1088.0</v>
      </c>
      <c r="P430" s="6">
        <v>44722.0</v>
      </c>
      <c r="Q430" s="3" t="s">
        <v>31</v>
      </c>
      <c r="R430" s="3" t="s">
        <v>29</v>
      </c>
      <c r="S430" s="5">
        <v>743238.0</v>
      </c>
      <c r="T430" s="3"/>
      <c r="U430" s="3"/>
      <c r="V430" s="3"/>
      <c r="W430" s="3"/>
      <c r="X430" s="3"/>
    </row>
    <row r="431">
      <c r="A431" s="3" t="s">
        <v>921</v>
      </c>
      <c r="B431" s="3" t="s">
        <v>922</v>
      </c>
      <c r="C431" s="3" t="s">
        <v>21</v>
      </c>
      <c r="D431" s="3" t="s">
        <v>22</v>
      </c>
      <c r="E431" s="3" t="s">
        <v>898</v>
      </c>
      <c r="F431" s="3" t="s">
        <v>31</v>
      </c>
      <c r="G431" s="3" t="s">
        <v>29</v>
      </c>
      <c r="H431" s="3" t="s">
        <v>30</v>
      </c>
      <c r="I431" s="3" t="s">
        <v>25</v>
      </c>
      <c r="J431" s="3" t="s">
        <v>30</v>
      </c>
      <c r="K431" s="3" t="s">
        <v>25</v>
      </c>
      <c r="L431" s="5">
        <v>433.0</v>
      </c>
      <c r="M431" s="5">
        <v>330.0</v>
      </c>
      <c r="N431" s="5">
        <v>315.0</v>
      </c>
      <c r="O431" s="5">
        <v>1078.0</v>
      </c>
      <c r="P431" s="6">
        <v>44669.0</v>
      </c>
      <c r="Q431" s="3" t="s">
        <v>31</v>
      </c>
      <c r="R431" s="3" t="s">
        <v>29</v>
      </c>
      <c r="S431" s="5">
        <v>77360.0</v>
      </c>
      <c r="T431" s="3"/>
      <c r="U431" s="3"/>
      <c r="V431" s="3"/>
      <c r="W431" s="3"/>
      <c r="X431" s="3"/>
    </row>
    <row r="432">
      <c r="A432" s="3" t="s">
        <v>923</v>
      </c>
      <c r="B432" s="3" t="s">
        <v>924</v>
      </c>
      <c r="C432" s="3" t="s">
        <v>21</v>
      </c>
      <c r="D432" s="3" t="s">
        <v>22</v>
      </c>
      <c r="E432" s="3" t="s">
        <v>898</v>
      </c>
      <c r="F432" s="3" t="s">
        <v>28</v>
      </c>
      <c r="G432" s="3" t="s">
        <v>29</v>
      </c>
      <c r="H432" s="3" t="s">
        <v>30</v>
      </c>
      <c r="I432" s="3" t="s">
        <v>25</v>
      </c>
      <c r="J432" s="3" t="s">
        <v>24</v>
      </c>
      <c r="K432" s="3" t="s">
        <v>25</v>
      </c>
      <c r="L432" s="5">
        <v>500.0</v>
      </c>
      <c r="M432" s="5">
        <v>300.0</v>
      </c>
      <c r="N432" s="5">
        <v>261.0</v>
      </c>
      <c r="O432" s="5">
        <v>1061.0</v>
      </c>
      <c r="P432" s="6">
        <v>44670.0</v>
      </c>
      <c r="Q432" s="3" t="s">
        <v>31</v>
      </c>
      <c r="R432" s="3" t="s">
        <v>29</v>
      </c>
      <c r="S432" s="5">
        <v>91440.0</v>
      </c>
      <c r="T432" s="3"/>
      <c r="U432" s="3"/>
      <c r="V432" s="3"/>
      <c r="W432" s="3"/>
      <c r="X432" s="3"/>
    </row>
    <row r="433">
      <c r="A433" s="3" t="s">
        <v>925</v>
      </c>
      <c r="B433" s="3" t="s">
        <v>926</v>
      </c>
      <c r="C433" s="3" t="s">
        <v>21</v>
      </c>
      <c r="D433" s="3" t="s">
        <v>59</v>
      </c>
      <c r="E433" s="3" t="s">
        <v>898</v>
      </c>
      <c r="F433" s="3" t="s">
        <v>28</v>
      </c>
      <c r="G433" s="3" t="s">
        <v>29</v>
      </c>
      <c r="H433" s="3" t="s">
        <v>24</v>
      </c>
      <c r="I433" s="3" t="s">
        <v>25</v>
      </c>
      <c r="J433" s="3" t="s">
        <v>30</v>
      </c>
      <c r="K433" s="3" t="s">
        <v>25</v>
      </c>
      <c r="L433" s="5">
        <v>500.0</v>
      </c>
      <c r="M433" s="5">
        <v>260.0</v>
      </c>
      <c r="N433" s="5">
        <v>300.0</v>
      </c>
      <c r="O433" s="5">
        <v>1060.0</v>
      </c>
      <c r="P433" s="6">
        <v>44722.0</v>
      </c>
      <c r="Q433" s="3" t="s">
        <v>31</v>
      </c>
      <c r="R433" s="3" t="s">
        <v>29</v>
      </c>
      <c r="S433" s="5">
        <v>914122.0</v>
      </c>
      <c r="T433" s="3"/>
      <c r="U433" s="3"/>
      <c r="V433" s="3"/>
      <c r="W433" s="3"/>
      <c r="X433" s="3"/>
    </row>
    <row r="434">
      <c r="A434" s="3" t="s">
        <v>927</v>
      </c>
      <c r="B434" s="3" t="s">
        <v>928</v>
      </c>
      <c r="C434" s="3" t="s">
        <v>21</v>
      </c>
      <c r="D434" s="3" t="s">
        <v>22</v>
      </c>
      <c r="E434" s="3" t="s">
        <v>898</v>
      </c>
      <c r="F434" s="3" t="s">
        <v>31</v>
      </c>
      <c r="G434" s="3" t="s">
        <v>29</v>
      </c>
      <c r="H434" s="3" t="s">
        <v>30</v>
      </c>
      <c r="I434" s="3" t="s">
        <v>25</v>
      </c>
      <c r="J434" s="3" t="s">
        <v>24</v>
      </c>
      <c r="K434" s="3" t="s">
        <v>25</v>
      </c>
      <c r="L434" s="5">
        <v>420.0</v>
      </c>
      <c r="M434" s="5">
        <v>303.0</v>
      </c>
      <c r="N434" s="5">
        <v>210.0</v>
      </c>
      <c r="O434" s="5">
        <v>933.0</v>
      </c>
      <c r="P434" s="6">
        <v>44670.0</v>
      </c>
      <c r="Q434" s="3" t="s">
        <v>31</v>
      </c>
      <c r="R434" s="3" t="s">
        <v>29</v>
      </c>
      <c r="S434" s="5">
        <v>795403.0</v>
      </c>
      <c r="T434" s="3"/>
      <c r="U434" s="3"/>
      <c r="V434" s="3"/>
      <c r="W434" s="3"/>
      <c r="X434" s="3"/>
    </row>
    <row r="435">
      <c r="A435" s="3" t="s">
        <v>929</v>
      </c>
      <c r="B435" s="3" t="s">
        <v>930</v>
      </c>
      <c r="C435" s="3" t="s">
        <v>21</v>
      </c>
      <c r="D435" s="3" t="s">
        <v>22</v>
      </c>
      <c r="E435" s="3" t="s">
        <v>898</v>
      </c>
      <c r="F435" s="3" t="s">
        <v>30</v>
      </c>
      <c r="G435" s="3" t="s">
        <v>25</v>
      </c>
      <c r="H435" s="3" t="s">
        <v>30</v>
      </c>
      <c r="I435" s="3" t="s">
        <v>25</v>
      </c>
      <c r="J435" s="3" t="s">
        <v>24</v>
      </c>
      <c r="K435" s="3" t="s">
        <v>25</v>
      </c>
      <c r="L435" s="5">
        <v>325.0</v>
      </c>
      <c r="M435" s="5">
        <v>303.0</v>
      </c>
      <c r="N435" s="5">
        <v>225.0</v>
      </c>
      <c r="O435" s="5">
        <v>853.0</v>
      </c>
      <c r="P435" s="6">
        <v>44669.0</v>
      </c>
      <c r="Q435" s="3" t="s">
        <v>30</v>
      </c>
      <c r="R435" s="3" t="s">
        <v>25</v>
      </c>
      <c r="S435" s="5">
        <v>76334.0</v>
      </c>
      <c r="T435" s="3"/>
      <c r="U435" s="3"/>
      <c r="V435" s="3"/>
      <c r="W435" s="3"/>
      <c r="X435" s="3"/>
    </row>
    <row r="436">
      <c r="A436" s="3" t="s">
        <v>931</v>
      </c>
      <c r="B436" s="3" t="s">
        <v>932</v>
      </c>
      <c r="C436" s="3" t="s">
        <v>21</v>
      </c>
      <c r="D436" s="3" t="s">
        <v>22</v>
      </c>
      <c r="E436" s="3" t="s">
        <v>898</v>
      </c>
      <c r="F436" s="3" t="s">
        <v>30</v>
      </c>
      <c r="G436" s="3" t="s">
        <v>25</v>
      </c>
      <c r="H436" s="3" t="s">
        <v>24</v>
      </c>
      <c r="I436" s="3" t="s">
        <v>25</v>
      </c>
      <c r="J436" s="3" t="s">
        <v>24</v>
      </c>
      <c r="K436" s="3" t="s">
        <v>25</v>
      </c>
      <c r="L436" s="5">
        <v>374.0</v>
      </c>
      <c r="M436" s="5">
        <v>254.0</v>
      </c>
      <c r="N436" s="5">
        <v>210.0</v>
      </c>
      <c r="O436" s="5">
        <v>838.0</v>
      </c>
      <c r="P436" s="6">
        <v>44671.0</v>
      </c>
      <c r="Q436" s="3" t="s">
        <v>30</v>
      </c>
      <c r="R436" s="3" t="s">
        <v>25</v>
      </c>
      <c r="S436" s="5">
        <v>1524472.0</v>
      </c>
      <c r="T436" s="3"/>
      <c r="U436" s="3"/>
      <c r="V436" s="3"/>
      <c r="W436" s="3"/>
      <c r="X436" s="3"/>
    </row>
    <row r="437">
      <c r="A437" s="3" t="s">
        <v>933</v>
      </c>
      <c r="B437" s="3" t="s">
        <v>934</v>
      </c>
      <c r="C437" s="3" t="s">
        <v>21</v>
      </c>
      <c r="D437" s="3" t="s">
        <v>59</v>
      </c>
      <c r="E437" s="3" t="s">
        <v>898</v>
      </c>
      <c r="F437" s="3" t="s">
        <v>24</v>
      </c>
      <c r="G437" s="3" t="s">
        <v>25</v>
      </c>
      <c r="H437" s="3" t="s">
        <v>30</v>
      </c>
      <c r="I437" s="3" t="s">
        <v>25</v>
      </c>
      <c r="J437" s="3" t="s">
        <v>24</v>
      </c>
      <c r="K437" s="3" t="s">
        <v>25</v>
      </c>
      <c r="L437" s="5">
        <v>200.0</v>
      </c>
      <c r="M437" s="5">
        <v>323.0</v>
      </c>
      <c r="N437" s="5">
        <v>240.0</v>
      </c>
      <c r="O437" s="5">
        <v>763.0</v>
      </c>
      <c r="P437" s="6">
        <v>44667.0</v>
      </c>
      <c r="Q437" s="3" t="s">
        <v>30</v>
      </c>
      <c r="R437" s="3" t="s">
        <v>25</v>
      </c>
      <c r="S437" s="5">
        <v>1005229.0</v>
      </c>
      <c r="T437" s="3"/>
      <c r="U437" s="3"/>
      <c r="V437" s="3"/>
      <c r="W437" s="3"/>
      <c r="X437" s="3"/>
    </row>
    <row r="438">
      <c r="A438" s="3" t="s">
        <v>935</v>
      </c>
      <c r="B438" s="3" t="s">
        <v>936</v>
      </c>
      <c r="C438" s="3" t="s">
        <v>21</v>
      </c>
      <c r="D438" s="3" t="s">
        <v>59</v>
      </c>
      <c r="E438" s="3" t="s">
        <v>898</v>
      </c>
      <c r="F438" s="3" t="s">
        <v>24</v>
      </c>
      <c r="G438" s="3" t="s">
        <v>25</v>
      </c>
      <c r="H438" s="3" t="s">
        <v>24</v>
      </c>
      <c r="I438" s="3" t="s">
        <v>25</v>
      </c>
      <c r="J438" s="3" t="s">
        <v>24</v>
      </c>
      <c r="K438" s="3" t="s">
        <v>25</v>
      </c>
      <c r="L438" s="5">
        <v>225.0</v>
      </c>
      <c r="M438" s="5">
        <v>282.0</v>
      </c>
      <c r="N438" s="5">
        <v>210.0</v>
      </c>
      <c r="O438" s="5">
        <v>717.0</v>
      </c>
      <c r="P438" s="6">
        <v>44723.0</v>
      </c>
      <c r="Q438" s="3" t="s">
        <v>24</v>
      </c>
      <c r="R438" s="3" t="s">
        <v>25</v>
      </c>
      <c r="S438" s="5">
        <v>1760689.0</v>
      </c>
      <c r="T438" s="3"/>
      <c r="U438" s="3"/>
      <c r="V438" s="3"/>
      <c r="W438" s="3"/>
      <c r="X438" s="3"/>
    </row>
    <row r="439">
      <c r="A439" s="3" t="s">
        <v>937</v>
      </c>
      <c r="B439" s="3" t="s">
        <v>938</v>
      </c>
      <c r="C439" s="3" t="s">
        <v>21</v>
      </c>
      <c r="D439" s="3" t="s">
        <v>22</v>
      </c>
      <c r="E439" s="3" t="s">
        <v>898</v>
      </c>
      <c r="F439" s="3" t="s">
        <v>24</v>
      </c>
      <c r="G439" s="3" t="s">
        <v>25</v>
      </c>
      <c r="H439" s="3" t="s">
        <v>24</v>
      </c>
      <c r="I439" s="3" t="s">
        <v>25</v>
      </c>
      <c r="J439" s="3" t="s">
        <v>24</v>
      </c>
      <c r="K439" s="3" t="s">
        <v>25</v>
      </c>
      <c r="L439" s="5">
        <v>235.0</v>
      </c>
      <c r="M439" s="5">
        <v>239.0</v>
      </c>
      <c r="N439" s="5">
        <v>235.0</v>
      </c>
      <c r="O439" s="5">
        <v>709.0</v>
      </c>
      <c r="P439" s="6">
        <v>44719.0</v>
      </c>
      <c r="Q439" s="3" t="s">
        <v>24</v>
      </c>
      <c r="R439" s="3" t="s">
        <v>25</v>
      </c>
      <c r="S439" s="5">
        <v>18230.0</v>
      </c>
      <c r="T439" s="3"/>
      <c r="U439" s="3"/>
      <c r="V439" s="3"/>
      <c r="W439" s="3"/>
      <c r="X439" s="3"/>
    </row>
    <row r="440">
      <c r="A440" s="3" t="s">
        <v>939</v>
      </c>
      <c r="B440" s="3" t="s">
        <v>940</v>
      </c>
      <c r="C440" s="3" t="s">
        <v>21</v>
      </c>
      <c r="D440" s="3" t="s">
        <v>22</v>
      </c>
      <c r="E440" s="3" t="s">
        <v>941</v>
      </c>
      <c r="F440" s="3" t="s">
        <v>30</v>
      </c>
      <c r="G440" s="3" t="s">
        <v>25</v>
      </c>
      <c r="H440" s="3" t="s">
        <v>30</v>
      </c>
      <c r="I440" s="3" t="s">
        <v>25</v>
      </c>
      <c r="J440" s="3" t="s">
        <v>30</v>
      </c>
      <c r="K440" s="3" t="s">
        <v>25</v>
      </c>
      <c r="L440" s="5">
        <v>329.0</v>
      </c>
      <c r="M440" s="5">
        <v>351.0</v>
      </c>
      <c r="N440" s="5">
        <v>320.0</v>
      </c>
      <c r="O440" s="5">
        <v>1000.0</v>
      </c>
      <c r="P440" s="6">
        <v>44671.0</v>
      </c>
      <c r="Q440" s="3" t="s">
        <v>31</v>
      </c>
      <c r="R440" s="3" t="s">
        <v>29</v>
      </c>
      <c r="S440" s="5">
        <v>1654126.0</v>
      </c>
      <c r="T440" s="3"/>
      <c r="U440" s="3"/>
      <c r="V440" s="3"/>
      <c r="W440" s="3"/>
      <c r="X440" s="3"/>
    </row>
    <row r="441">
      <c r="A441" s="3" t="s">
        <v>942</v>
      </c>
      <c r="B441" s="3" t="s">
        <v>943</v>
      </c>
      <c r="C441" s="3" t="s">
        <v>21</v>
      </c>
      <c r="D441" s="3" t="s">
        <v>59</v>
      </c>
      <c r="E441" s="3" t="s">
        <v>941</v>
      </c>
      <c r="F441" s="3" t="s">
        <v>30</v>
      </c>
      <c r="G441" s="3" t="s">
        <v>25</v>
      </c>
      <c r="H441" s="3" t="s">
        <v>30</v>
      </c>
      <c r="I441" s="3" t="s">
        <v>25</v>
      </c>
      <c r="J441" s="3" t="s">
        <v>30</v>
      </c>
      <c r="K441" s="3" t="s">
        <v>25</v>
      </c>
      <c r="L441" s="5">
        <v>345.0</v>
      </c>
      <c r="M441" s="5">
        <v>300.0</v>
      </c>
      <c r="N441" s="5">
        <v>305.0</v>
      </c>
      <c r="O441" s="5">
        <v>950.0</v>
      </c>
      <c r="P441" s="6">
        <v>44670.0</v>
      </c>
      <c r="Q441" s="3" t="s">
        <v>31</v>
      </c>
      <c r="R441" s="3" t="s">
        <v>29</v>
      </c>
      <c r="S441" s="5">
        <v>1448397.0</v>
      </c>
      <c r="T441" s="3"/>
      <c r="U441" s="3"/>
      <c r="V441" s="3"/>
      <c r="W441" s="3"/>
      <c r="X441" s="3"/>
    </row>
    <row r="442">
      <c r="A442" s="3" t="s">
        <v>944</v>
      </c>
      <c r="B442" s="3" t="s">
        <v>945</v>
      </c>
      <c r="C442" s="3" t="s">
        <v>21</v>
      </c>
      <c r="D442" s="3" t="s">
        <v>22</v>
      </c>
      <c r="E442" s="3" t="s">
        <v>941</v>
      </c>
      <c r="F442" s="3" t="s">
        <v>24</v>
      </c>
      <c r="G442" s="3" t="s">
        <v>25</v>
      </c>
      <c r="H442" s="3" t="s">
        <v>24</v>
      </c>
      <c r="I442" s="3" t="s">
        <v>25</v>
      </c>
      <c r="J442" s="3" t="s">
        <v>24</v>
      </c>
      <c r="K442" s="3" t="s">
        <v>25</v>
      </c>
      <c r="L442" s="5">
        <v>242.0</v>
      </c>
      <c r="M442" s="5">
        <v>204.0</v>
      </c>
      <c r="N442" s="5">
        <v>200.0</v>
      </c>
      <c r="O442" s="5">
        <v>646.0</v>
      </c>
      <c r="P442" s="6">
        <v>44872.0</v>
      </c>
      <c r="Q442" s="3" t="s">
        <v>24</v>
      </c>
      <c r="R442" s="3" t="s">
        <v>25</v>
      </c>
      <c r="S442" s="5">
        <v>1503584.0</v>
      </c>
      <c r="T442" s="3"/>
      <c r="U442" s="3"/>
      <c r="V442" s="3"/>
      <c r="W442" s="3"/>
      <c r="X442" s="3"/>
    </row>
    <row r="443">
      <c r="A443" s="3" t="s">
        <v>946</v>
      </c>
      <c r="B443" s="3" t="s">
        <v>947</v>
      </c>
      <c r="C443" s="3" t="s">
        <v>21</v>
      </c>
      <c r="D443" s="3" t="s">
        <v>22</v>
      </c>
      <c r="E443" s="3" t="s">
        <v>948</v>
      </c>
      <c r="F443" s="3" t="s">
        <v>28</v>
      </c>
      <c r="G443" s="3" t="s">
        <v>29</v>
      </c>
      <c r="H443" s="3" t="s">
        <v>30</v>
      </c>
      <c r="I443" s="3" t="s">
        <v>25</v>
      </c>
      <c r="J443" s="3" t="s">
        <v>30</v>
      </c>
      <c r="K443" s="3" t="s">
        <v>25</v>
      </c>
      <c r="L443" s="5">
        <v>543.0</v>
      </c>
      <c r="M443" s="5">
        <v>333.0</v>
      </c>
      <c r="N443" s="5">
        <v>305.0</v>
      </c>
      <c r="O443" s="5">
        <v>1181.0</v>
      </c>
      <c r="P443" s="6">
        <v>44669.0</v>
      </c>
      <c r="Q443" s="3" t="s">
        <v>31</v>
      </c>
      <c r="R443" s="3" t="s">
        <v>29</v>
      </c>
      <c r="S443" s="5">
        <v>29989.0</v>
      </c>
      <c r="T443" s="3"/>
      <c r="U443" s="3"/>
      <c r="V443" s="3"/>
      <c r="W443" s="3"/>
      <c r="X443" s="3"/>
    </row>
    <row r="444">
      <c r="A444" s="3" t="s">
        <v>949</v>
      </c>
      <c r="B444" s="3" t="s">
        <v>950</v>
      </c>
      <c r="C444" s="3" t="s">
        <v>21</v>
      </c>
      <c r="D444" s="3" t="s">
        <v>59</v>
      </c>
      <c r="E444" s="3" t="s">
        <v>948</v>
      </c>
      <c r="F444" s="3" t="s">
        <v>28</v>
      </c>
      <c r="G444" s="3" t="s">
        <v>29</v>
      </c>
      <c r="H444" s="3" t="s">
        <v>30</v>
      </c>
      <c r="I444" s="3" t="s">
        <v>25</v>
      </c>
      <c r="J444" s="3" t="s">
        <v>30</v>
      </c>
      <c r="K444" s="3" t="s">
        <v>25</v>
      </c>
      <c r="L444" s="5">
        <v>507.0</v>
      </c>
      <c r="M444" s="5">
        <v>343.0</v>
      </c>
      <c r="N444" s="5">
        <v>315.0</v>
      </c>
      <c r="O444" s="5">
        <v>1165.0</v>
      </c>
      <c r="P444" s="6">
        <v>44667.0</v>
      </c>
      <c r="Q444" s="3" t="s">
        <v>31</v>
      </c>
      <c r="R444" s="3" t="s">
        <v>29</v>
      </c>
      <c r="S444" s="5">
        <v>1166691.0</v>
      </c>
      <c r="T444" s="3"/>
      <c r="U444" s="3"/>
      <c r="V444" s="3"/>
      <c r="W444" s="3"/>
      <c r="X444" s="3"/>
    </row>
    <row r="445">
      <c r="A445" s="3" t="s">
        <v>951</v>
      </c>
      <c r="B445" s="3" t="s">
        <v>952</v>
      </c>
      <c r="C445" s="3" t="s">
        <v>21</v>
      </c>
      <c r="D445" s="3" t="s">
        <v>22</v>
      </c>
      <c r="E445" s="3" t="s">
        <v>948</v>
      </c>
      <c r="F445" s="3" t="s">
        <v>28</v>
      </c>
      <c r="G445" s="3" t="s">
        <v>29</v>
      </c>
      <c r="H445" s="3" t="s">
        <v>30</v>
      </c>
      <c r="I445" s="3" t="s">
        <v>25</v>
      </c>
      <c r="J445" s="3" t="s">
        <v>30</v>
      </c>
      <c r="K445" s="3" t="s">
        <v>25</v>
      </c>
      <c r="L445" s="5">
        <v>510.0</v>
      </c>
      <c r="M445" s="5">
        <v>316.0</v>
      </c>
      <c r="N445" s="5">
        <v>321.0</v>
      </c>
      <c r="O445" s="5">
        <v>1147.0</v>
      </c>
      <c r="P445" s="6">
        <v>44670.0</v>
      </c>
      <c r="Q445" s="3" t="s">
        <v>31</v>
      </c>
      <c r="R445" s="3" t="s">
        <v>29</v>
      </c>
      <c r="S445" s="5">
        <v>1744489.0</v>
      </c>
      <c r="T445" s="3"/>
      <c r="U445" s="3"/>
      <c r="V445" s="3"/>
      <c r="W445" s="3"/>
      <c r="X445" s="3"/>
    </row>
    <row r="446">
      <c r="A446" s="3" t="s">
        <v>953</v>
      </c>
      <c r="B446" s="3" t="s">
        <v>954</v>
      </c>
      <c r="C446" s="3" t="s">
        <v>21</v>
      </c>
      <c r="D446" s="3" t="s">
        <v>59</v>
      </c>
      <c r="E446" s="3" t="s">
        <v>948</v>
      </c>
      <c r="F446" s="3" t="s">
        <v>28</v>
      </c>
      <c r="G446" s="3" t="s">
        <v>29</v>
      </c>
      <c r="H446" s="3" t="s">
        <v>24</v>
      </c>
      <c r="I446" s="3" t="s">
        <v>25</v>
      </c>
      <c r="J446" s="3" t="s">
        <v>30</v>
      </c>
      <c r="K446" s="3" t="s">
        <v>25</v>
      </c>
      <c r="L446" s="5">
        <v>515.0</v>
      </c>
      <c r="M446" s="5">
        <v>269.0</v>
      </c>
      <c r="N446" s="5">
        <v>328.0</v>
      </c>
      <c r="O446" s="5">
        <v>1112.0</v>
      </c>
      <c r="P446" s="6">
        <v>44671.0</v>
      </c>
      <c r="Q446" s="3" t="s">
        <v>31</v>
      </c>
      <c r="R446" s="3" t="s">
        <v>29</v>
      </c>
      <c r="S446" s="5">
        <v>1776661.0</v>
      </c>
      <c r="T446" s="3"/>
      <c r="U446" s="3"/>
      <c r="V446" s="3"/>
      <c r="W446" s="3"/>
      <c r="X446" s="3"/>
    </row>
    <row r="447">
      <c r="A447" s="3" t="s">
        <v>955</v>
      </c>
      <c r="B447" s="3" t="s">
        <v>956</v>
      </c>
      <c r="C447" s="3" t="s">
        <v>21</v>
      </c>
      <c r="D447" s="3" t="s">
        <v>59</v>
      </c>
      <c r="E447" s="3" t="s">
        <v>948</v>
      </c>
      <c r="F447" s="3" t="s">
        <v>28</v>
      </c>
      <c r="G447" s="3" t="s">
        <v>29</v>
      </c>
      <c r="H447" s="3" t="s">
        <v>30</v>
      </c>
      <c r="I447" s="3" t="s">
        <v>25</v>
      </c>
      <c r="J447" s="3" t="s">
        <v>30</v>
      </c>
      <c r="K447" s="3" t="s">
        <v>25</v>
      </c>
      <c r="L447" s="5">
        <v>509.0</v>
      </c>
      <c r="M447" s="5">
        <v>300.0</v>
      </c>
      <c r="N447" s="5">
        <v>300.0</v>
      </c>
      <c r="O447" s="5">
        <v>1109.0</v>
      </c>
      <c r="P447" s="6">
        <v>44669.0</v>
      </c>
      <c r="Q447" s="3" t="s">
        <v>31</v>
      </c>
      <c r="R447" s="3" t="s">
        <v>29</v>
      </c>
      <c r="S447" s="5">
        <v>1564708.0</v>
      </c>
      <c r="T447" s="3"/>
      <c r="U447" s="3"/>
      <c r="V447" s="3"/>
      <c r="W447" s="3"/>
      <c r="X447" s="3"/>
    </row>
    <row r="448">
      <c r="A448" s="3" t="s">
        <v>957</v>
      </c>
      <c r="B448" s="3" t="s">
        <v>958</v>
      </c>
      <c r="C448" s="3" t="s">
        <v>21</v>
      </c>
      <c r="D448" s="3" t="s">
        <v>59</v>
      </c>
      <c r="E448" s="3" t="s">
        <v>948</v>
      </c>
      <c r="F448" s="3" t="s">
        <v>28</v>
      </c>
      <c r="G448" s="3" t="s">
        <v>29</v>
      </c>
      <c r="H448" s="3" t="s">
        <v>30</v>
      </c>
      <c r="I448" s="3" t="s">
        <v>25</v>
      </c>
      <c r="J448" s="3" t="s">
        <v>30</v>
      </c>
      <c r="K448" s="3" t="s">
        <v>25</v>
      </c>
      <c r="L448" s="5">
        <v>500.0</v>
      </c>
      <c r="M448" s="5">
        <v>300.0</v>
      </c>
      <c r="N448" s="5">
        <v>300.0</v>
      </c>
      <c r="O448" s="5">
        <v>1100.0</v>
      </c>
      <c r="P448" s="6">
        <v>44667.0</v>
      </c>
      <c r="Q448" s="3" t="s">
        <v>31</v>
      </c>
      <c r="R448" s="3" t="s">
        <v>29</v>
      </c>
      <c r="S448" s="5">
        <v>1091667.0</v>
      </c>
      <c r="T448" s="3"/>
      <c r="U448" s="3"/>
      <c r="V448" s="3"/>
      <c r="W448" s="3"/>
      <c r="X448" s="3"/>
    </row>
    <row r="449">
      <c r="A449" s="3" t="s">
        <v>959</v>
      </c>
      <c r="B449" s="3" t="s">
        <v>960</v>
      </c>
      <c r="C449" s="3" t="s">
        <v>21</v>
      </c>
      <c r="D449" s="3" t="s">
        <v>22</v>
      </c>
      <c r="E449" s="3" t="s">
        <v>948</v>
      </c>
      <c r="F449" s="3" t="s">
        <v>31</v>
      </c>
      <c r="G449" s="3" t="s">
        <v>29</v>
      </c>
      <c r="H449" s="3" t="s">
        <v>30</v>
      </c>
      <c r="I449" s="3" t="s">
        <v>25</v>
      </c>
      <c r="J449" s="3" t="s">
        <v>24</v>
      </c>
      <c r="K449" s="3" t="s">
        <v>25</v>
      </c>
      <c r="L449" s="5">
        <v>492.0</v>
      </c>
      <c r="M449" s="5">
        <v>310.0</v>
      </c>
      <c r="N449" s="5">
        <v>250.0</v>
      </c>
      <c r="O449" s="5">
        <v>1052.0</v>
      </c>
      <c r="P449" s="6">
        <v>44669.0</v>
      </c>
      <c r="Q449" s="3" t="s">
        <v>31</v>
      </c>
      <c r="R449" s="3" t="s">
        <v>29</v>
      </c>
      <c r="S449" s="5">
        <v>1335258.0</v>
      </c>
      <c r="T449" s="3"/>
      <c r="U449" s="3"/>
      <c r="V449" s="3"/>
      <c r="W449" s="3"/>
      <c r="X449" s="3"/>
    </row>
    <row r="450">
      <c r="A450" s="3" t="s">
        <v>961</v>
      </c>
      <c r="B450" s="3" t="s">
        <v>962</v>
      </c>
      <c r="C450" s="3" t="s">
        <v>190</v>
      </c>
      <c r="D450" s="3" t="s">
        <v>22</v>
      </c>
      <c r="E450" s="3" t="s">
        <v>948</v>
      </c>
      <c r="F450" s="3" t="s">
        <v>28</v>
      </c>
      <c r="G450" s="3" t="s">
        <v>29</v>
      </c>
      <c r="H450" s="3" t="s">
        <v>24</v>
      </c>
      <c r="I450" s="3" t="s">
        <v>25</v>
      </c>
      <c r="J450" s="3" t="s">
        <v>24</v>
      </c>
      <c r="K450" s="3" t="s">
        <v>25</v>
      </c>
      <c r="L450" s="5">
        <v>500.0</v>
      </c>
      <c r="M450" s="5">
        <v>283.0</v>
      </c>
      <c r="N450" s="5">
        <v>255.0</v>
      </c>
      <c r="O450" s="5">
        <v>1038.0</v>
      </c>
      <c r="P450" s="6">
        <v>44673.0</v>
      </c>
      <c r="Q450" s="3" t="s">
        <v>31</v>
      </c>
      <c r="R450" s="3" t="s">
        <v>29</v>
      </c>
      <c r="S450" s="5">
        <v>1639920.0</v>
      </c>
      <c r="T450" s="3"/>
      <c r="U450" s="3"/>
      <c r="V450" s="3"/>
      <c r="W450" s="3"/>
      <c r="X450" s="3"/>
    </row>
    <row r="451">
      <c r="A451" s="3" t="s">
        <v>963</v>
      </c>
      <c r="B451" s="3" t="s">
        <v>964</v>
      </c>
      <c r="C451" s="3" t="s">
        <v>21</v>
      </c>
      <c r="D451" s="3" t="s">
        <v>59</v>
      </c>
      <c r="E451" s="3" t="s">
        <v>948</v>
      </c>
      <c r="F451" s="3" t="s">
        <v>24</v>
      </c>
      <c r="G451" s="3" t="s">
        <v>25</v>
      </c>
      <c r="H451" s="3" t="s">
        <v>30</v>
      </c>
      <c r="I451" s="3" t="s">
        <v>25</v>
      </c>
      <c r="J451" s="3" t="s">
        <v>30</v>
      </c>
      <c r="K451" s="3" t="s">
        <v>25</v>
      </c>
      <c r="L451" s="5">
        <v>295.0</v>
      </c>
      <c r="M451" s="5">
        <v>362.0</v>
      </c>
      <c r="N451" s="5">
        <v>355.0</v>
      </c>
      <c r="O451" s="5">
        <v>1012.0</v>
      </c>
      <c r="P451" s="6">
        <v>44681.0</v>
      </c>
      <c r="Q451" s="3" t="s">
        <v>31</v>
      </c>
      <c r="R451" s="3" t="s">
        <v>29</v>
      </c>
      <c r="S451" s="5">
        <v>1652044.0</v>
      </c>
      <c r="T451" s="3"/>
      <c r="U451" s="3"/>
      <c r="V451" s="3"/>
      <c r="W451" s="3"/>
      <c r="X451" s="3"/>
    </row>
    <row r="452">
      <c r="A452" s="3" t="s">
        <v>965</v>
      </c>
      <c r="B452" s="3" t="s">
        <v>966</v>
      </c>
      <c r="C452" s="3" t="s">
        <v>21</v>
      </c>
      <c r="D452" s="3" t="s">
        <v>22</v>
      </c>
      <c r="E452" s="3" t="s">
        <v>948</v>
      </c>
      <c r="F452" s="3" t="s">
        <v>24</v>
      </c>
      <c r="G452" s="3" t="s">
        <v>25</v>
      </c>
      <c r="H452" s="3" t="s">
        <v>28</v>
      </c>
      <c r="I452" s="3" t="s">
        <v>29</v>
      </c>
      <c r="J452" s="3" t="s">
        <v>24</v>
      </c>
      <c r="K452" s="3" t="s">
        <v>25</v>
      </c>
      <c r="L452" s="5">
        <v>245.0</v>
      </c>
      <c r="M452" s="5">
        <v>515.0</v>
      </c>
      <c r="N452" s="5">
        <v>213.0</v>
      </c>
      <c r="O452" s="5">
        <v>973.0</v>
      </c>
      <c r="P452" s="6">
        <v>44671.0</v>
      </c>
      <c r="Q452" s="3" t="s">
        <v>31</v>
      </c>
      <c r="R452" s="3" t="s">
        <v>29</v>
      </c>
      <c r="S452" s="5">
        <v>1345016.0</v>
      </c>
      <c r="T452" s="3"/>
      <c r="U452" s="3"/>
      <c r="V452" s="3"/>
      <c r="W452" s="3"/>
      <c r="X452" s="3"/>
    </row>
    <row r="453">
      <c r="A453" s="3" t="s">
        <v>967</v>
      </c>
      <c r="B453" s="3" t="s">
        <v>968</v>
      </c>
      <c r="C453" s="3" t="s">
        <v>21</v>
      </c>
      <c r="D453" s="3" t="s">
        <v>59</v>
      </c>
      <c r="E453" s="3" t="s">
        <v>948</v>
      </c>
      <c r="F453" s="3" t="s">
        <v>24</v>
      </c>
      <c r="G453" s="3" t="s">
        <v>25</v>
      </c>
      <c r="H453" s="3" t="s">
        <v>30</v>
      </c>
      <c r="I453" s="3" t="s">
        <v>25</v>
      </c>
      <c r="J453" s="3" t="s">
        <v>30</v>
      </c>
      <c r="K453" s="3" t="s">
        <v>25</v>
      </c>
      <c r="L453" s="5">
        <v>280.0</v>
      </c>
      <c r="M453" s="5">
        <v>347.0</v>
      </c>
      <c r="N453" s="5">
        <v>330.0</v>
      </c>
      <c r="O453" s="5">
        <v>957.0</v>
      </c>
      <c r="P453" s="6">
        <v>44667.0</v>
      </c>
      <c r="Q453" s="3" t="s">
        <v>31</v>
      </c>
      <c r="R453" s="3" t="s">
        <v>29</v>
      </c>
      <c r="S453" s="5">
        <v>718877.0</v>
      </c>
      <c r="T453" s="3"/>
      <c r="U453" s="3"/>
      <c r="V453" s="3"/>
      <c r="W453" s="3"/>
      <c r="X453" s="3"/>
    </row>
    <row r="454">
      <c r="A454" s="3" t="s">
        <v>969</v>
      </c>
      <c r="B454" s="3" t="s">
        <v>970</v>
      </c>
      <c r="C454" s="3" t="s">
        <v>21</v>
      </c>
      <c r="D454" s="3" t="s">
        <v>59</v>
      </c>
      <c r="E454" s="3" t="s">
        <v>948</v>
      </c>
      <c r="F454" s="3" t="s">
        <v>24</v>
      </c>
      <c r="G454" s="3" t="s">
        <v>25</v>
      </c>
      <c r="H454" s="3" t="s">
        <v>30</v>
      </c>
      <c r="I454" s="3" t="s">
        <v>25</v>
      </c>
      <c r="J454" s="3" t="s">
        <v>30</v>
      </c>
      <c r="K454" s="3" t="s">
        <v>25</v>
      </c>
      <c r="L454" s="5">
        <v>245.0</v>
      </c>
      <c r="M454" s="5">
        <v>389.0</v>
      </c>
      <c r="N454" s="5">
        <v>311.0</v>
      </c>
      <c r="O454" s="5">
        <v>945.0</v>
      </c>
      <c r="P454" s="6">
        <v>44669.0</v>
      </c>
      <c r="Q454" s="3" t="s">
        <v>31</v>
      </c>
      <c r="R454" s="3" t="s">
        <v>29</v>
      </c>
      <c r="S454" s="5">
        <v>891103.0</v>
      </c>
      <c r="T454" s="3"/>
      <c r="U454" s="3"/>
      <c r="V454" s="3"/>
      <c r="W454" s="3"/>
      <c r="X454" s="3"/>
    </row>
    <row r="455">
      <c r="A455" s="3" t="s">
        <v>971</v>
      </c>
      <c r="B455" s="3" t="s">
        <v>972</v>
      </c>
      <c r="C455" s="3" t="s">
        <v>21</v>
      </c>
      <c r="D455" s="3" t="s">
        <v>59</v>
      </c>
      <c r="E455" s="3" t="s">
        <v>948</v>
      </c>
      <c r="F455" s="3" t="s">
        <v>24</v>
      </c>
      <c r="G455" s="3" t="s">
        <v>25</v>
      </c>
      <c r="H455" s="3" t="s">
        <v>30</v>
      </c>
      <c r="I455" s="3" t="s">
        <v>25</v>
      </c>
      <c r="J455" s="3" t="s">
        <v>30</v>
      </c>
      <c r="K455" s="3" t="s">
        <v>25</v>
      </c>
      <c r="L455" s="5">
        <v>295.0</v>
      </c>
      <c r="M455" s="5">
        <v>330.0</v>
      </c>
      <c r="N455" s="5">
        <v>315.0</v>
      </c>
      <c r="O455" s="5">
        <v>940.0</v>
      </c>
      <c r="P455" s="6">
        <v>44667.0</v>
      </c>
      <c r="Q455" s="3" t="s">
        <v>31</v>
      </c>
      <c r="R455" s="3" t="s">
        <v>29</v>
      </c>
      <c r="S455" s="5">
        <v>1754301.0</v>
      </c>
      <c r="T455" s="3"/>
      <c r="U455" s="3"/>
      <c r="V455" s="3"/>
      <c r="W455" s="3"/>
      <c r="X455" s="3"/>
    </row>
    <row r="456">
      <c r="A456" s="3" t="s">
        <v>973</v>
      </c>
      <c r="B456" s="3" t="s">
        <v>974</v>
      </c>
      <c r="C456" s="3" t="s">
        <v>21</v>
      </c>
      <c r="D456" s="3" t="s">
        <v>22</v>
      </c>
      <c r="E456" s="3" t="s">
        <v>948</v>
      </c>
      <c r="F456" s="3" t="s">
        <v>30</v>
      </c>
      <c r="G456" s="3" t="s">
        <v>25</v>
      </c>
      <c r="H456" s="3" t="s">
        <v>30</v>
      </c>
      <c r="I456" s="3" t="s">
        <v>25</v>
      </c>
      <c r="J456" s="3" t="s">
        <v>30</v>
      </c>
      <c r="K456" s="3" t="s">
        <v>25</v>
      </c>
      <c r="L456" s="5">
        <v>330.0</v>
      </c>
      <c r="M456" s="5">
        <v>300.0</v>
      </c>
      <c r="N456" s="5">
        <v>300.0</v>
      </c>
      <c r="O456" s="5">
        <v>930.0</v>
      </c>
      <c r="P456" s="6">
        <v>44872.0</v>
      </c>
      <c r="Q456" s="3" t="s">
        <v>31</v>
      </c>
      <c r="R456" s="3" t="s">
        <v>29</v>
      </c>
      <c r="S456" s="5">
        <v>1385280.0</v>
      </c>
      <c r="T456" s="3"/>
      <c r="U456" s="3"/>
      <c r="V456" s="3"/>
      <c r="W456" s="3"/>
      <c r="X456" s="3"/>
    </row>
    <row r="457">
      <c r="A457" s="3" t="s">
        <v>975</v>
      </c>
      <c r="B457" s="3" t="s">
        <v>976</v>
      </c>
      <c r="C457" s="3" t="s">
        <v>21</v>
      </c>
      <c r="D457" s="3" t="s">
        <v>22</v>
      </c>
      <c r="E457" s="3" t="s">
        <v>948</v>
      </c>
      <c r="F457" s="3" t="s">
        <v>24</v>
      </c>
      <c r="G457" s="3" t="s">
        <v>25</v>
      </c>
      <c r="H457" s="3" t="s">
        <v>30</v>
      </c>
      <c r="I457" s="3" t="s">
        <v>25</v>
      </c>
      <c r="J457" s="3" t="s">
        <v>30</v>
      </c>
      <c r="K457" s="3" t="s">
        <v>25</v>
      </c>
      <c r="L457" s="5">
        <v>275.0</v>
      </c>
      <c r="M457" s="5">
        <v>332.0</v>
      </c>
      <c r="N457" s="5">
        <v>315.0</v>
      </c>
      <c r="O457" s="5">
        <v>922.0</v>
      </c>
      <c r="P457" s="6">
        <v>44671.0</v>
      </c>
      <c r="Q457" s="3" t="s">
        <v>31</v>
      </c>
      <c r="R457" s="3" t="s">
        <v>29</v>
      </c>
      <c r="S457" s="5">
        <v>1091907.0</v>
      </c>
      <c r="T457" s="3"/>
      <c r="U457" s="3"/>
      <c r="V457" s="3"/>
      <c r="W457" s="3"/>
      <c r="X457" s="3"/>
    </row>
    <row r="458">
      <c r="A458" s="3" t="s">
        <v>977</v>
      </c>
      <c r="B458" s="3" t="s">
        <v>978</v>
      </c>
      <c r="C458" s="3" t="s">
        <v>21</v>
      </c>
      <c r="D458" s="3" t="s">
        <v>59</v>
      </c>
      <c r="E458" s="3" t="s">
        <v>948</v>
      </c>
      <c r="F458" s="3" t="s">
        <v>30</v>
      </c>
      <c r="G458" s="3" t="s">
        <v>25</v>
      </c>
      <c r="H458" s="3" t="s">
        <v>30</v>
      </c>
      <c r="I458" s="3" t="s">
        <v>25</v>
      </c>
      <c r="J458" s="3" t="s">
        <v>24</v>
      </c>
      <c r="K458" s="3" t="s">
        <v>25</v>
      </c>
      <c r="L458" s="5">
        <v>360.0</v>
      </c>
      <c r="M458" s="5">
        <v>300.0</v>
      </c>
      <c r="N458" s="5">
        <v>225.0</v>
      </c>
      <c r="O458" s="5">
        <v>885.0</v>
      </c>
      <c r="P458" s="6">
        <v>44668.0</v>
      </c>
      <c r="Q458" s="3" t="s">
        <v>30</v>
      </c>
      <c r="R458" s="3" t="s">
        <v>25</v>
      </c>
      <c r="S458" s="5">
        <v>712515.0</v>
      </c>
      <c r="T458" s="3"/>
      <c r="U458" s="3"/>
      <c r="V458" s="3"/>
      <c r="W458" s="3"/>
      <c r="X458" s="3"/>
    </row>
    <row r="459">
      <c r="A459" s="3" t="s">
        <v>979</v>
      </c>
      <c r="B459" s="3" t="s">
        <v>980</v>
      </c>
      <c r="C459" s="3" t="s">
        <v>21</v>
      </c>
      <c r="D459" s="3" t="s">
        <v>59</v>
      </c>
      <c r="E459" s="3" t="s">
        <v>948</v>
      </c>
      <c r="F459" s="3" t="s">
        <v>24</v>
      </c>
      <c r="G459" s="3" t="s">
        <v>25</v>
      </c>
      <c r="H459" s="3" t="s">
        <v>30</v>
      </c>
      <c r="I459" s="3" t="s">
        <v>25</v>
      </c>
      <c r="J459" s="3" t="s">
        <v>30</v>
      </c>
      <c r="K459" s="3" t="s">
        <v>25</v>
      </c>
      <c r="L459" s="5">
        <v>225.0</v>
      </c>
      <c r="M459" s="5">
        <v>307.0</v>
      </c>
      <c r="N459" s="5">
        <v>310.0</v>
      </c>
      <c r="O459" s="5">
        <v>842.0</v>
      </c>
      <c r="P459" s="6">
        <v>44670.0</v>
      </c>
      <c r="Q459" s="3" t="s">
        <v>30</v>
      </c>
      <c r="R459" s="3" t="s">
        <v>25</v>
      </c>
      <c r="S459" s="5">
        <v>946581.0</v>
      </c>
      <c r="T459" s="3"/>
      <c r="U459" s="3"/>
      <c r="V459" s="3"/>
      <c r="W459" s="3"/>
      <c r="X459" s="3"/>
    </row>
    <row r="460">
      <c r="A460" s="3" t="s">
        <v>981</v>
      </c>
      <c r="B460" s="3" t="s">
        <v>982</v>
      </c>
      <c r="C460" s="3" t="s">
        <v>84</v>
      </c>
      <c r="D460" s="3" t="s">
        <v>59</v>
      </c>
      <c r="E460" s="3" t="s">
        <v>948</v>
      </c>
      <c r="F460" s="3" t="s">
        <v>24</v>
      </c>
      <c r="G460" s="3" t="s">
        <v>25</v>
      </c>
      <c r="H460" s="3" t="s">
        <v>30</v>
      </c>
      <c r="I460" s="3" t="s">
        <v>25</v>
      </c>
      <c r="J460" s="3" t="s">
        <v>24</v>
      </c>
      <c r="K460" s="3" t="s">
        <v>25</v>
      </c>
      <c r="L460" s="5">
        <v>260.0</v>
      </c>
      <c r="M460" s="5">
        <v>320.0</v>
      </c>
      <c r="N460" s="5">
        <v>240.0</v>
      </c>
      <c r="O460" s="5">
        <v>820.0</v>
      </c>
      <c r="P460" s="6">
        <v>44722.0</v>
      </c>
      <c r="Q460" s="3" t="s">
        <v>30</v>
      </c>
      <c r="R460" s="3" t="s">
        <v>25</v>
      </c>
      <c r="S460" s="5">
        <v>1753673.0</v>
      </c>
      <c r="T460" s="3"/>
      <c r="U460" s="3"/>
      <c r="V460" s="3"/>
      <c r="W460" s="3"/>
      <c r="X460" s="3"/>
    </row>
    <row r="461">
      <c r="A461" s="3" t="s">
        <v>983</v>
      </c>
      <c r="B461" s="3" t="s">
        <v>984</v>
      </c>
      <c r="C461" s="3" t="s">
        <v>21</v>
      </c>
      <c r="D461" s="3" t="s">
        <v>59</v>
      </c>
      <c r="E461" s="3" t="s">
        <v>948</v>
      </c>
      <c r="F461" s="3" t="s">
        <v>24</v>
      </c>
      <c r="G461" s="3" t="s">
        <v>25</v>
      </c>
      <c r="H461" s="3" t="s">
        <v>30</v>
      </c>
      <c r="I461" s="3" t="s">
        <v>25</v>
      </c>
      <c r="J461" s="3" t="s">
        <v>24</v>
      </c>
      <c r="K461" s="3" t="s">
        <v>25</v>
      </c>
      <c r="L461" s="5">
        <v>240.0</v>
      </c>
      <c r="M461" s="5">
        <v>302.0</v>
      </c>
      <c r="N461" s="5">
        <v>205.0</v>
      </c>
      <c r="O461" s="5">
        <v>747.0</v>
      </c>
      <c r="P461" s="6">
        <v>44873.0</v>
      </c>
      <c r="Q461" s="3" t="s">
        <v>24</v>
      </c>
      <c r="R461" s="3" t="s">
        <v>25</v>
      </c>
      <c r="S461" s="5">
        <v>908937.0</v>
      </c>
      <c r="T461" s="3"/>
      <c r="U461" s="3"/>
      <c r="V461" s="3"/>
      <c r="W461" s="3"/>
      <c r="X461" s="3"/>
    </row>
    <row r="462">
      <c r="A462" s="3" t="s">
        <v>985</v>
      </c>
      <c r="B462" s="3" t="s">
        <v>986</v>
      </c>
      <c r="C462" s="3" t="s">
        <v>21</v>
      </c>
      <c r="D462" s="3" t="s">
        <v>22</v>
      </c>
      <c r="E462" s="3" t="s">
        <v>948</v>
      </c>
      <c r="F462" s="3" t="s">
        <v>24</v>
      </c>
      <c r="G462" s="3" t="s">
        <v>25</v>
      </c>
      <c r="H462" s="3" t="s">
        <v>24</v>
      </c>
      <c r="I462" s="3" t="s">
        <v>25</v>
      </c>
      <c r="J462" s="3" t="s">
        <v>24</v>
      </c>
      <c r="K462" s="3" t="s">
        <v>25</v>
      </c>
      <c r="L462" s="5">
        <v>233.0</v>
      </c>
      <c r="M462" s="5">
        <v>244.0</v>
      </c>
      <c r="N462" s="5">
        <v>220.0</v>
      </c>
      <c r="O462" s="5">
        <v>697.0</v>
      </c>
      <c r="P462" s="6">
        <v>44723.0</v>
      </c>
      <c r="Q462" s="3" t="s">
        <v>24</v>
      </c>
      <c r="R462" s="3" t="s">
        <v>25</v>
      </c>
      <c r="S462" s="5">
        <v>1794350.0</v>
      </c>
      <c r="T462" s="3"/>
      <c r="U462" s="3"/>
      <c r="V462" s="3"/>
      <c r="W462" s="3"/>
      <c r="X462" s="3"/>
    </row>
    <row r="463">
      <c r="A463" s="3" t="s">
        <v>987</v>
      </c>
      <c r="B463" s="3" t="s">
        <v>988</v>
      </c>
      <c r="C463" s="3" t="s">
        <v>21</v>
      </c>
      <c r="D463" s="3" t="s">
        <v>59</v>
      </c>
      <c r="E463" s="3" t="s">
        <v>948</v>
      </c>
      <c r="F463" s="3" t="s">
        <v>24</v>
      </c>
      <c r="G463" s="3" t="s">
        <v>25</v>
      </c>
      <c r="H463" s="3" t="s">
        <v>24</v>
      </c>
      <c r="I463" s="3" t="s">
        <v>25</v>
      </c>
      <c r="J463" s="3" t="s">
        <v>24</v>
      </c>
      <c r="K463" s="3" t="s">
        <v>25</v>
      </c>
      <c r="L463" s="5">
        <v>210.0</v>
      </c>
      <c r="M463" s="5">
        <v>263.0</v>
      </c>
      <c r="N463" s="5">
        <v>205.0</v>
      </c>
      <c r="O463" s="5">
        <v>678.0</v>
      </c>
      <c r="P463" s="6">
        <v>44668.0</v>
      </c>
      <c r="Q463" s="3" t="s">
        <v>24</v>
      </c>
      <c r="R463" s="3" t="s">
        <v>25</v>
      </c>
      <c r="S463" s="5">
        <v>1001082.0</v>
      </c>
      <c r="T463" s="3"/>
      <c r="U463" s="3"/>
      <c r="V463" s="3"/>
      <c r="W463" s="3"/>
      <c r="X463" s="3"/>
    </row>
    <row r="464">
      <c r="A464" s="3" t="s">
        <v>989</v>
      </c>
      <c r="B464" s="3" t="s">
        <v>990</v>
      </c>
      <c r="C464" s="3" t="s">
        <v>21</v>
      </c>
      <c r="D464" s="3" t="s">
        <v>59</v>
      </c>
      <c r="E464" s="3" t="s">
        <v>948</v>
      </c>
      <c r="F464" s="3" t="s">
        <v>24</v>
      </c>
      <c r="G464" s="3" t="s">
        <v>25</v>
      </c>
      <c r="H464" s="3" t="s">
        <v>24</v>
      </c>
      <c r="I464" s="3" t="s">
        <v>25</v>
      </c>
      <c r="J464" s="3" t="s">
        <v>24</v>
      </c>
      <c r="K464" s="3" t="s">
        <v>25</v>
      </c>
      <c r="L464" s="5">
        <v>205.0</v>
      </c>
      <c r="M464" s="5">
        <v>232.0</v>
      </c>
      <c r="N464" s="5">
        <v>215.0</v>
      </c>
      <c r="O464" s="5">
        <v>652.0</v>
      </c>
      <c r="P464" s="6">
        <v>44673.0</v>
      </c>
      <c r="Q464" s="3" t="s">
        <v>24</v>
      </c>
      <c r="R464" s="3" t="s">
        <v>25</v>
      </c>
      <c r="S464" s="5">
        <v>1326801.0</v>
      </c>
      <c r="T464" s="3"/>
      <c r="U464" s="3"/>
      <c r="V464" s="3"/>
      <c r="W464" s="3"/>
      <c r="X464" s="3"/>
    </row>
    <row r="465">
      <c r="A465" s="3" t="s">
        <v>991</v>
      </c>
      <c r="B465" s="3" t="s">
        <v>992</v>
      </c>
      <c r="C465" s="3" t="s">
        <v>21</v>
      </c>
      <c r="D465" s="3" t="s">
        <v>59</v>
      </c>
      <c r="E465" s="3" t="s">
        <v>948</v>
      </c>
      <c r="F465" s="3" t="s">
        <v>24</v>
      </c>
      <c r="G465" s="3" t="s">
        <v>25</v>
      </c>
      <c r="H465" s="3" t="s">
        <v>24</v>
      </c>
      <c r="I465" s="3" t="s">
        <v>25</v>
      </c>
      <c r="J465" s="3" t="s">
        <v>24</v>
      </c>
      <c r="K465" s="3" t="s">
        <v>25</v>
      </c>
      <c r="L465" s="5">
        <v>205.0</v>
      </c>
      <c r="M465" s="5">
        <v>202.0</v>
      </c>
      <c r="N465" s="5">
        <v>200.0</v>
      </c>
      <c r="O465" s="5">
        <v>607.0</v>
      </c>
      <c r="P465" s="6">
        <v>44723.0</v>
      </c>
      <c r="Q465" s="3" t="s">
        <v>24</v>
      </c>
      <c r="R465" s="3" t="s">
        <v>25</v>
      </c>
      <c r="S465" s="5">
        <v>1823878.0</v>
      </c>
      <c r="T465" s="3"/>
      <c r="U465" s="3"/>
      <c r="V465" s="3"/>
      <c r="W465" s="3"/>
      <c r="X465" s="3"/>
    </row>
    <row r="466">
      <c r="A466" s="3" t="s">
        <v>993</v>
      </c>
      <c r="B466" s="3" t="s">
        <v>994</v>
      </c>
      <c r="C466" s="3" t="s">
        <v>21</v>
      </c>
      <c r="D466" s="3" t="s">
        <v>22</v>
      </c>
      <c r="E466" s="3" t="s">
        <v>995</v>
      </c>
      <c r="F466" s="3" t="s">
        <v>24</v>
      </c>
      <c r="G466" s="3" t="s">
        <v>25</v>
      </c>
      <c r="H466" s="3" t="s">
        <v>24</v>
      </c>
      <c r="I466" s="3" t="s">
        <v>25</v>
      </c>
      <c r="J466" s="3" t="s">
        <v>24</v>
      </c>
      <c r="K466" s="3" t="s">
        <v>25</v>
      </c>
      <c r="L466" s="5">
        <v>215.0</v>
      </c>
      <c r="M466" s="5">
        <v>200.0</v>
      </c>
      <c r="N466" s="5">
        <v>200.0</v>
      </c>
      <c r="O466" s="5">
        <v>615.0</v>
      </c>
      <c r="P466" s="6">
        <v>44874.0</v>
      </c>
      <c r="Q466" s="3" t="s">
        <v>24</v>
      </c>
      <c r="R466" s="3" t="s">
        <v>25</v>
      </c>
      <c r="S466" s="5">
        <v>1691303.0</v>
      </c>
      <c r="T466" s="3"/>
      <c r="U466" s="3"/>
      <c r="V466" s="3"/>
      <c r="W466" s="3"/>
      <c r="X466" s="3"/>
    </row>
    <row r="467">
      <c r="A467" s="3" t="s">
        <v>996</v>
      </c>
      <c r="B467" s="3" t="s">
        <v>997</v>
      </c>
      <c r="C467" s="3" t="s">
        <v>21</v>
      </c>
      <c r="D467" s="3" t="s">
        <v>22</v>
      </c>
      <c r="E467" s="3" t="s">
        <v>995</v>
      </c>
      <c r="F467" s="3" t="s">
        <v>147</v>
      </c>
      <c r="G467" s="3" t="s">
        <v>148</v>
      </c>
      <c r="H467" s="3" t="s">
        <v>30</v>
      </c>
      <c r="I467" s="3" t="s">
        <v>25</v>
      </c>
      <c r="J467" s="3" t="s">
        <v>30</v>
      </c>
      <c r="K467" s="3" t="s">
        <v>25</v>
      </c>
      <c r="L467" s="5">
        <v>675.0</v>
      </c>
      <c r="M467" s="5">
        <v>389.0</v>
      </c>
      <c r="N467" s="5">
        <v>355.0</v>
      </c>
      <c r="O467" s="5">
        <v>1419.0</v>
      </c>
      <c r="P467" s="6">
        <v>44669.0</v>
      </c>
      <c r="Q467" s="3" t="s">
        <v>28</v>
      </c>
      <c r="R467" s="3" t="s">
        <v>29</v>
      </c>
      <c r="S467" s="5">
        <v>1164727.0</v>
      </c>
      <c r="T467" s="3"/>
      <c r="U467" s="3"/>
      <c r="V467" s="3"/>
      <c r="W467" s="3"/>
      <c r="X467" s="3"/>
    </row>
    <row r="468">
      <c r="A468" s="3" t="s">
        <v>998</v>
      </c>
      <c r="B468" s="3" t="s">
        <v>999</v>
      </c>
      <c r="C468" s="3" t="s">
        <v>21</v>
      </c>
      <c r="D468" s="3" t="s">
        <v>22</v>
      </c>
      <c r="E468" s="3" t="s">
        <v>995</v>
      </c>
      <c r="F468" s="3" t="s">
        <v>147</v>
      </c>
      <c r="G468" s="3" t="s">
        <v>148</v>
      </c>
      <c r="H468" s="3" t="s">
        <v>30</v>
      </c>
      <c r="I468" s="3" t="s">
        <v>25</v>
      </c>
      <c r="J468" s="3" t="s">
        <v>30</v>
      </c>
      <c r="K468" s="3" t="s">
        <v>25</v>
      </c>
      <c r="L468" s="5">
        <v>608.0</v>
      </c>
      <c r="M468" s="5">
        <v>313.0</v>
      </c>
      <c r="N468" s="5">
        <v>305.0</v>
      </c>
      <c r="O468" s="5">
        <v>1226.0</v>
      </c>
      <c r="P468" s="6">
        <v>44668.0</v>
      </c>
      <c r="Q468" s="3" t="s">
        <v>28</v>
      </c>
      <c r="R468" s="3" t="s">
        <v>29</v>
      </c>
      <c r="S468" s="5">
        <v>831259.0</v>
      </c>
      <c r="T468" s="3"/>
      <c r="U468" s="3"/>
      <c r="V468" s="3"/>
      <c r="W468" s="3"/>
      <c r="X468" s="3"/>
    </row>
    <row r="469">
      <c r="A469" s="3" t="s">
        <v>1000</v>
      </c>
      <c r="B469" s="3" t="s">
        <v>1001</v>
      </c>
      <c r="C469" s="3" t="s">
        <v>21</v>
      </c>
      <c r="D469" s="3" t="s">
        <v>22</v>
      </c>
      <c r="E469" s="3" t="s">
        <v>995</v>
      </c>
      <c r="F469" s="3" t="s">
        <v>28</v>
      </c>
      <c r="G469" s="3" t="s">
        <v>29</v>
      </c>
      <c r="H469" s="3" t="s">
        <v>30</v>
      </c>
      <c r="I469" s="3" t="s">
        <v>25</v>
      </c>
      <c r="J469" s="3" t="s">
        <v>30</v>
      </c>
      <c r="K469" s="3" t="s">
        <v>25</v>
      </c>
      <c r="L469" s="5">
        <v>535.0</v>
      </c>
      <c r="M469" s="5">
        <v>364.0</v>
      </c>
      <c r="N469" s="5">
        <v>300.0</v>
      </c>
      <c r="O469" s="5">
        <v>1199.0</v>
      </c>
      <c r="P469" s="6">
        <v>44670.0</v>
      </c>
      <c r="Q469" s="3" t="s">
        <v>31</v>
      </c>
      <c r="R469" s="3" t="s">
        <v>29</v>
      </c>
      <c r="S469" s="5">
        <v>1163302.0</v>
      </c>
      <c r="T469" s="3"/>
      <c r="U469" s="3"/>
      <c r="V469" s="3"/>
      <c r="W469" s="3"/>
      <c r="X469" s="3"/>
    </row>
    <row r="470">
      <c r="A470" s="3" t="s">
        <v>1002</v>
      </c>
      <c r="B470" s="3" t="s">
        <v>1003</v>
      </c>
      <c r="C470" s="3" t="s">
        <v>21</v>
      </c>
      <c r="D470" s="3" t="s">
        <v>22</v>
      </c>
      <c r="E470" s="3" t="s">
        <v>995</v>
      </c>
      <c r="F470" s="3" t="s">
        <v>28</v>
      </c>
      <c r="G470" s="3" t="s">
        <v>29</v>
      </c>
      <c r="H470" s="3" t="s">
        <v>30</v>
      </c>
      <c r="I470" s="3" t="s">
        <v>25</v>
      </c>
      <c r="J470" s="3" t="s">
        <v>30</v>
      </c>
      <c r="K470" s="3" t="s">
        <v>25</v>
      </c>
      <c r="L470" s="5">
        <v>505.0</v>
      </c>
      <c r="M470" s="5">
        <v>302.0</v>
      </c>
      <c r="N470" s="5">
        <v>320.0</v>
      </c>
      <c r="O470" s="5">
        <v>1127.0</v>
      </c>
      <c r="P470" s="6">
        <v>44872.0</v>
      </c>
      <c r="Q470" s="3" t="s">
        <v>31</v>
      </c>
      <c r="R470" s="3" t="s">
        <v>29</v>
      </c>
      <c r="S470" s="5">
        <v>1227654.0</v>
      </c>
      <c r="T470" s="3"/>
      <c r="U470" s="3"/>
      <c r="V470" s="3"/>
      <c r="W470" s="3"/>
      <c r="X470" s="3"/>
    </row>
    <row r="471">
      <c r="A471" s="3" t="s">
        <v>1004</v>
      </c>
      <c r="B471" s="3" t="s">
        <v>1005</v>
      </c>
      <c r="C471" s="3" t="s">
        <v>21</v>
      </c>
      <c r="D471" s="3" t="s">
        <v>59</v>
      </c>
      <c r="E471" s="3" t="s">
        <v>995</v>
      </c>
      <c r="F471" s="3" t="s">
        <v>28</v>
      </c>
      <c r="G471" s="3" t="s">
        <v>29</v>
      </c>
      <c r="H471" s="3" t="s">
        <v>30</v>
      </c>
      <c r="I471" s="3" t="s">
        <v>25</v>
      </c>
      <c r="J471" s="3" t="s">
        <v>30</v>
      </c>
      <c r="K471" s="3" t="s">
        <v>25</v>
      </c>
      <c r="L471" s="5">
        <v>500.0</v>
      </c>
      <c r="M471" s="5">
        <v>301.0</v>
      </c>
      <c r="N471" s="5">
        <v>300.0</v>
      </c>
      <c r="O471" s="5">
        <v>1101.0</v>
      </c>
      <c r="P471" s="6">
        <v>44668.0</v>
      </c>
      <c r="Q471" s="3" t="s">
        <v>31</v>
      </c>
      <c r="R471" s="3" t="s">
        <v>29</v>
      </c>
      <c r="S471" s="5">
        <v>858655.0</v>
      </c>
      <c r="T471" s="3"/>
      <c r="U471" s="3"/>
      <c r="V471" s="3"/>
      <c r="W471" s="3"/>
      <c r="X471" s="3"/>
    </row>
    <row r="472">
      <c r="A472" s="3" t="s">
        <v>1006</v>
      </c>
      <c r="B472" s="3" t="s">
        <v>1007</v>
      </c>
      <c r="C472" s="3" t="s">
        <v>21</v>
      </c>
      <c r="D472" s="3" t="s">
        <v>59</v>
      </c>
      <c r="E472" s="3" t="s">
        <v>995</v>
      </c>
      <c r="F472" s="3" t="s">
        <v>31</v>
      </c>
      <c r="G472" s="3" t="s">
        <v>29</v>
      </c>
      <c r="H472" s="3" t="s">
        <v>24</v>
      </c>
      <c r="I472" s="3" t="s">
        <v>25</v>
      </c>
      <c r="J472" s="3" t="s">
        <v>30</v>
      </c>
      <c r="K472" s="3" t="s">
        <v>25</v>
      </c>
      <c r="L472" s="5">
        <v>400.0</v>
      </c>
      <c r="M472" s="5">
        <v>240.0</v>
      </c>
      <c r="N472" s="5">
        <v>300.0</v>
      </c>
      <c r="O472" s="5">
        <v>940.0</v>
      </c>
      <c r="P472" s="6">
        <v>44722.0</v>
      </c>
      <c r="Q472" s="3" t="s">
        <v>31</v>
      </c>
      <c r="R472" s="3" t="s">
        <v>29</v>
      </c>
      <c r="S472" s="5">
        <v>27093.0</v>
      </c>
      <c r="T472" s="3"/>
      <c r="U472" s="3"/>
      <c r="V472" s="3"/>
      <c r="W472" s="3"/>
      <c r="X472" s="3"/>
    </row>
    <row r="473">
      <c r="A473" s="3" t="s">
        <v>1008</v>
      </c>
      <c r="B473" s="3" t="s">
        <v>1009</v>
      </c>
      <c r="C473" s="3" t="s">
        <v>21</v>
      </c>
      <c r="D473" s="3" t="s">
        <v>22</v>
      </c>
      <c r="E473" s="3" t="s">
        <v>995</v>
      </c>
      <c r="F473" s="3" t="s">
        <v>30</v>
      </c>
      <c r="G473" s="3" t="s">
        <v>25</v>
      </c>
      <c r="H473" s="3" t="s">
        <v>30</v>
      </c>
      <c r="I473" s="3" t="s">
        <v>25</v>
      </c>
      <c r="J473" s="3" t="s">
        <v>24</v>
      </c>
      <c r="K473" s="3" t="s">
        <v>25</v>
      </c>
      <c r="L473" s="5">
        <v>374.0</v>
      </c>
      <c r="M473" s="5">
        <v>340.0</v>
      </c>
      <c r="N473" s="5">
        <v>225.0</v>
      </c>
      <c r="O473" s="5">
        <v>939.0</v>
      </c>
      <c r="P473" s="6">
        <v>44669.0</v>
      </c>
      <c r="Q473" s="3" t="s">
        <v>31</v>
      </c>
      <c r="R473" s="3" t="s">
        <v>29</v>
      </c>
      <c r="S473" s="5">
        <v>73309.0</v>
      </c>
      <c r="T473" s="3"/>
      <c r="U473" s="3"/>
      <c r="V473" s="3"/>
      <c r="W473" s="3"/>
      <c r="X473" s="3"/>
    </row>
    <row r="474">
      <c r="A474" s="3" t="s">
        <v>1010</v>
      </c>
      <c r="B474" s="3" t="s">
        <v>1011</v>
      </c>
      <c r="C474" s="3" t="s">
        <v>21</v>
      </c>
      <c r="D474" s="3" t="s">
        <v>59</v>
      </c>
      <c r="E474" s="3" t="s">
        <v>995</v>
      </c>
      <c r="F474" s="3" t="s">
        <v>24</v>
      </c>
      <c r="G474" s="3" t="s">
        <v>25</v>
      </c>
      <c r="H474" s="3" t="s">
        <v>24</v>
      </c>
      <c r="I474" s="3" t="s">
        <v>25</v>
      </c>
      <c r="J474" s="3" t="s">
        <v>24</v>
      </c>
      <c r="K474" s="3" t="s">
        <v>25</v>
      </c>
      <c r="L474" s="5">
        <v>238.0</v>
      </c>
      <c r="M474" s="5">
        <v>231.0</v>
      </c>
      <c r="N474" s="5">
        <v>200.0</v>
      </c>
      <c r="O474" s="5">
        <v>669.0</v>
      </c>
      <c r="P474" s="6">
        <v>44873.0</v>
      </c>
      <c r="Q474" s="3" t="s">
        <v>24</v>
      </c>
      <c r="R474" s="3" t="s">
        <v>25</v>
      </c>
      <c r="S474" s="5">
        <v>931584.0</v>
      </c>
      <c r="T474" s="3"/>
      <c r="U474" s="3"/>
      <c r="V474" s="3"/>
      <c r="W474" s="3"/>
      <c r="X474" s="3"/>
    </row>
    <row r="475">
      <c r="A475" s="3" t="s">
        <v>1012</v>
      </c>
      <c r="B475" s="3" t="s">
        <v>1013</v>
      </c>
      <c r="C475" s="3" t="s">
        <v>21</v>
      </c>
      <c r="D475" s="3" t="s">
        <v>22</v>
      </c>
      <c r="E475" s="3" t="s">
        <v>995</v>
      </c>
      <c r="F475" s="3" t="s">
        <v>24</v>
      </c>
      <c r="G475" s="3" t="s">
        <v>25</v>
      </c>
      <c r="H475" s="3" t="s">
        <v>24</v>
      </c>
      <c r="I475" s="3" t="s">
        <v>25</v>
      </c>
      <c r="J475" s="3" t="s">
        <v>24</v>
      </c>
      <c r="K475" s="3" t="s">
        <v>25</v>
      </c>
      <c r="L475" s="5">
        <v>223.0</v>
      </c>
      <c r="M475" s="5">
        <v>212.0</v>
      </c>
      <c r="N475" s="5">
        <v>200.0</v>
      </c>
      <c r="O475" s="5">
        <v>635.0</v>
      </c>
      <c r="P475" s="6">
        <v>44872.0</v>
      </c>
      <c r="Q475" s="3" t="s">
        <v>24</v>
      </c>
      <c r="R475" s="3" t="s">
        <v>25</v>
      </c>
      <c r="S475" s="5">
        <v>22444.0</v>
      </c>
      <c r="T475" s="3"/>
      <c r="U475" s="3"/>
      <c r="V475" s="3"/>
      <c r="W475" s="3"/>
      <c r="X475" s="3"/>
    </row>
    <row r="476">
      <c r="A476" s="3" t="s">
        <v>1014</v>
      </c>
      <c r="B476" s="3" t="s">
        <v>1015</v>
      </c>
      <c r="C476" s="3" t="s">
        <v>21</v>
      </c>
      <c r="D476" s="3" t="s">
        <v>22</v>
      </c>
      <c r="E476" s="3" t="s">
        <v>1016</v>
      </c>
      <c r="F476" s="3" t="s">
        <v>28</v>
      </c>
      <c r="G476" s="3" t="s">
        <v>29</v>
      </c>
      <c r="H476" s="3" t="s">
        <v>30</v>
      </c>
      <c r="I476" s="3" t="s">
        <v>25</v>
      </c>
      <c r="J476" s="3" t="s">
        <v>30</v>
      </c>
      <c r="K476" s="3" t="s">
        <v>25</v>
      </c>
      <c r="L476" s="5">
        <v>535.0</v>
      </c>
      <c r="M476" s="5">
        <v>347.0</v>
      </c>
      <c r="N476" s="5">
        <v>325.0</v>
      </c>
      <c r="O476" s="5">
        <v>1207.0</v>
      </c>
      <c r="P476" s="6">
        <v>44667.0</v>
      </c>
      <c r="Q476" s="3" t="s">
        <v>28</v>
      </c>
      <c r="R476" s="3" t="s">
        <v>29</v>
      </c>
      <c r="S476" s="5">
        <v>8818.0</v>
      </c>
      <c r="T476" s="3"/>
      <c r="U476" s="3"/>
      <c r="V476" s="3"/>
      <c r="W476" s="3"/>
      <c r="X476" s="3"/>
    </row>
    <row r="477">
      <c r="A477" s="3" t="s">
        <v>1017</v>
      </c>
      <c r="B477" s="3" t="s">
        <v>1018</v>
      </c>
      <c r="C477" s="3" t="s">
        <v>21</v>
      </c>
      <c r="D477" s="3" t="s">
        <v>22</v>
      </c>
      <c r="E477" s="3" t="s">
        <v>1016</v>
      </c>
      <c r="F477" s="3" t="s">
        <v>28</v>
      </c>
      <c r="G477" s="3" t="s">
        <v>29</v>
      </c>
      <c r="H477" s="3" t="s">
        <v>30</v>
      </c>
      <c r="I477" s="3" t="s">
        <v>25</v>
      </c>
      <c r="J477" s="3" t="s">
        <v>30</v>
      </c>
      <c r="K477" s="3" t="s">
        <v>25</v>
      </c>
      <c r="L477" s="5">
        <v>555.0</v>
      </c>
      <c r="M477" s="5">
        <v>324.0</v>
      </c>
      <c r="N477" s="5">
        <v>305.0</v>
      </c>
      <c r="O477" s="5">
        <v>1184.0</v>
      </c>
      <c r="P477" s="6">
        <v>44671.0</v>
      </c>
      <c r="Q477" s="3" t="s">
        <v>31</v>
      </c>
      <c r="R477" s="3" t="s">
        <v>29</v>
      </c>
      <c r="S477" s="5">
        <v>1732845.0</v>
      </c>
      <c r="T477" s="3"/>
      <c r="U477" s="3"/>
      <c r="V477" s="3"/>
      <c r="W477" s="3"/>
      <c r="X477" s="3"/>
    </row>
    <row r="478">
      <c r="A478" s="3" t="s">
        <v>1019</v>
      </c>
      <c r="B478" s="3" t="s">
        <v>1020</v>
      </c>
      <c r="C478" s="3" t="s">
        <v>21</v>
      </c>
      <c r="D478" s="3" t="s">
        <v>22</v>
      </c>
      <c r="E478" s="3" t="s">
        <v>1016</v>
      </c>
      <c r="F478" s="3" t="s">
        <v>28</v>
      </c>
      <c r="G478" s="3" t="s">
        <v>29</v>
      </c>
      <c r="H478" s="3" t="s">
        <v>30</v>
      </c>
      <c r="I478" s="3" t="s">
        <v>25</v>
      </c>
      <c r="J478" s="3" t="s">
        <v>24</v>
      </c>
      <c r="K478" s="3" t="s">
        <v>25</v>
      </c>
      <c r="L478" s="5">
        <v>555.0</v>
      </c>
      <c r="M478" s="5">
        <v>318.0</v>
      </c>
      <c r="N478" s="5">
        <v>257.0</v>
      </c>
      <c r="O478" s="5">
        <v>1130.0</v>
      </c>
      <c r="P478" s="6">
        <v>44670.0</v>
      </c>
      <c r="Q478" s="3" t="s">
        <v>31</v>
      </c>
      <c r="R478" s="3" t="s">
        <v>29</v>
      </c>
      <c r="S478" s="5">
        <v>1012100.0</v>
      </c>
      <c r="T478" s="3"/>
      <c r="U478" s="3"/>
      <c r="V478" s="3"/>
      <c r="W478" s="3"/>
      <c r="X478" s="3"/>
    </row>
    <row r="479">
      <c r="A479" s="3" t="s">
        <v>1021</v>
      </c>
      <c r="B479" s="3" t="s">
        <v>1022</v>
      </c>
      <c r="C479" s="3" t="s">
        <v>21</v>
      </c>
      <c r="D479" s="3" t="s">
        <v>22</v>
      </c>
      <c r="E479" s="3" t="s">
        <v>1016</v>
      </c>
      <c r="F479" s="3" t="s">
        <v>28</v>
      </c>
      <c r="G479" s="3" t="s">
        <v>29</v>
      </c>
      <c r="H479" s="3" t="s">
        <v>30</v>
      </c>
      <c r="I479" s="3" t="s">
        <v>25</v>
      </c>
      <c r="J479" s="3" t="s">
        <v>30</v>
      </c>
      <c r="K479" s="3" t="s">
        <v>25</v>
      </c>
      <c r="L479" s="5">
        <v>500.0</v>
      </c>
      <c r="M479" s="5">
        <v>303.0</v>
      </c>
      <c r="N479" s="5">
        <v>300.0</v>
      </c>
      <c r="O479" s="5">
        <v>1103.0</v>
      </c>
      <c r="P479" s="6">
        <v>44669.0</v>
      </c>
      <c r="Q479" s="3" t="s">
        <v>31</v>
      </c>
      <c r="R479" s="3" t="s">
        <v>29</v>
      </c>
      <c r="S479" s="5">
        <v>75677.0</v>
      </c>
      <c r="T479" s="3"/>
      <c r="U479" s="3"/>
      <c r="V479" s="3"/>
      <c r="W479" s="3"/>
      <c r="X479" s="3"/>
    </row>
    <row r="480">
      <c r="A480" s="3" t="s">
        <v>1023</v>
      </c>
      <c r="B480" s="3" t="s">
        <v>1024</v>
      </c>
      <c r="C480" s="3" t="s">
        <v>21</v>
      </c>
      <c r="D480" s="3" t="s">
        <v>22</v>
      </c>
      <c r="E480" s="3" t="s">
        <v>1025</v>
      </c>
      <c r="F480" s="3" t="s">
        <v>28</v>
      </c>
      <c r="G480" s="3" t="s">
        <v>29</v>
      </c>
      <c r="H480" s="3" t="s">
        <v>30</v>
      </c>
      <c r="I480" s="3" t="s">
        <v>25</v>
      </c>
      <c r="J480" s="3" t="s">
        <v>30</v>
      </c>
      <c r="K480" s="3" t="s">
        <v>25</v>
      </c>
      <c r="L480" s="5">
        <v>510.0</v>
      </c>
      <c r="M480" s="5">
        <v>360.0</v>
      </c>
      <c r="N480" s="5">
        <v>310.0</v>
      </c>
      <c r="O480" s="5">
        <v>1180.0</v>
      </c>
      <c r="P480" s="6">
        <v>44668.0</v>
      </c>
      <c r="Q480" s="3" t="s">
        <v>31</v>
      </c>
      <c r="R480" s="3" t="s">
        <v>29</v>
      </c>
      <c r="S480" s="5">
        <v>59478.0</v>
      </c>
      <c r="T480" s="3"/>
      <c r="U480" s="3"/>
      <c r="V480" s="3"/>
      <c r="W480" s="3"/>
      <c r="X480" s="3"/>
    </row>
    <row r="481">
      <c r="A481" s="3" t="s">
        <v>1026</v>
      </c>
      <c r="B481" s="3" t="s">
        <v>1027</v>
      </c>
      <c r="C481" s="3" t="s">
        <v>21</v>
      </c>
      <c r="D481" s="3" t="s">
        <v>22</v>
      </c>
      <c r="E481" s="3" t="s">
        <v>1025</v>
      </c>
      <c r="F481" s="3" t="s">
        <v>28</v>
      </c>
      <c r="G481" s="3" t="s">
        <v>29</v>
      </c>
      <c r="H481" s="3" t="s">
        <v>30</v>
      </c>
      <c r="I481" s="3" t="s">
        <v>25</v>
      </c>
      <c r="J481" s="3" t="s">
        <v>30</v>
      </c>
      <c r="K481" s="3" t="s">
        <v>25</v>
      </c>
      <c r="L481" s="5">
        <v>520.0</v>
      </c>
      <c r="M481" s="5">
        <v>348.0</v>
      </c>
      <c r="N481" s="5">
        <v>310.0</v>
      </c>
      <c r="O481" s="5">
        <v>1178.0</v>
      </c>
      <c r="P481" s="6">
        <v>44671.0</v>
      </c>
      <c r="Q481" s="3" t="s">
        <v>31</v>
      </c>
      <c r="R481" s="3" t="s">
        <v>29</v>
      </c>
      <c r="S481" s="5">
        <v>1555280.0</v>
      </c>
      <c r="T481" s="3"/>
      <c r="U481" s="3"/>
      <c r="V481" s="3"/>
      <c r="W481" s="3"/>
      <c r="X481" s="3"/>
    </row>
    <row r="482">
      <c r="A482" s="3" t="s">
        <v>1028</v>
      </c>
      <c r="B482" s="3" t="s">
        <v>1029</v>
      </c>
      <c r="C482" s="3" t="s">
        <v>21</v>
      </c>
      <c r="D482" s="3" t="s">
        <v>22</v>
      </c>
      <c r="E482" s="3" t="s">
        <v>1025</v>
      </c>
      <c r="F482" s="3" t="s">
        <v>28</v>
      </c>
      <c r="G482" s="3" t="s">
        <v>29</v>
      </c>
      <c r="H482" s="3" t="s">
        <v>30</v>
      </c>
      <c r="I482" s="3" t="s">
        <v>25</v>
      </c>
      <c r="J482" s="3" t="s">
        <v>30</v>
      </c>
      <c r="K482" s="3" t="s">
        <v>25</v>
      </c>
      <c r="L482" s="5">
        <v>565.0</v>
      </c>
      <c r="M482" s="5">
        <v>308.0</v>
      </c>
      <c r="N482" s="5">
        <v>300.0</v>
      </c>
      <c r="O482" s="5">
        <v>1173.0</v>
      </c>
      <c r="P482" s="6">
        <v>44669.0</v>
      </c>
      <c r="Q482" s="3" t="s">
        <v>31</v>
      </c>
      <c r="R482" s="3" t="s">
        <v>29</v>
      </c>
      <c r="S482" s="5">
        <v>200406.0</v>
      </c>
      <c r="T482" s="3"/>
      <c r="U482" s="3"/>
      <c r="V482" s="3"/>
      <c r="W482" s="3"/>
      <c r="X482" s="3"/>
    </row>
    <row r="483">
      <c r="A483" s="3" t="s">
        <v>1030</v>
      </c>
      <c r="B483" s="3" t="s">
        <v>1031</v>
      </c>
      <c r="C483" s="3" t="s">
        <v>21</v>
      </c>
      <c r="D483" s="3" t="s">
        <v>22</v>
      </c>
      <c r="E483" s="3" t="s">
        <v>1025</v>
      </c>
      <c r="F483" s="3" t="s">
        <v>28</v>
      </c>
      <c r="G483" s="3" t="s">
        <v>29</v>
      </c>
      <c r="H483" s="3" t="s">
        <v>30</v>
      </c>
      <c r="I483" s="3" t="s">
        <v>25</v>
      </c>
      <c r="J483" s="3" t="s">
        <v>30</v>
      </c>
      <c r="K483" s="3" t="s">
        <v>25</v>
      </c>
      <c r="L483" s="5">
        <v>515.0</v>
      </c>
      <c r="M483" s="5">
        <v>335.0</v>
      </c>
      <c r="N483" s="5">
        <v>305.0</v>
      </c>
      <c r="O483" s="5">
        <v>1155.0</v>
      </c>
      <c r="P483" s="6">
        <v>44723.0</v>
      </c>
      <c r="Q483" s="3" t="s">
        <v>31</v>
      </c>
      <c r="R483" s="3" t="s">
        <v>29</v>
      </c>
      <c r="S483" s="5">
        <v>1821825.0</v>
      </c>
      <c r="T483" s="3"/>
      <c r="U483" s="3"/>
      <c r="V483" s="3"/>
      <c r="W483" s="3"/>
      <c r="X483" s="3"/>
    </row>
    <row r="484">
      <c r="A484" s="3" t="s">
        <v>1032</v>
      </c>
      <c r="B484" s="3" t="s">
        <v>1033</v>
      </c>
      <c r="C484" s="3" t="s">
        <v>21</v>
      </c>
      <c r="D484" s="3" t="s">
        <v>22</v>
      </c>
      <c r="E484" s="3" t="s">
        <v>1025</v>
      </c>
      <c r="F484" s="3" t="s">
        <v>28</v>
      </c>
      <c r="G484" s="3" t="s">
        <v>29</v>
      </c>
      <c r="H484" s="3" t="s">
        <v>30</v>
      </c>
      <c r="I484" s="3" t="s">
        <v>25</v>
      </c>
      <c r="J484" s="3" t="s">
        <v>30</v>
      </c>
      <c r="K484" s="3" t="s">
        <v>25</v>
      </c>
      <c r="L484" s="5">
        <v>500.0</v>
      </c>
      <c r="M484" s="5">
        <v>321.0</v>
      </c>
      <c r="N484" s="5">
        <v>310.0</v>
      </c>
      <c r="O484" s="5">
        <v>1131.0</v>
      </c>
      <c r="P484" s="6">
        <v>44667.0</v>
      </c>
      <c r="Q484" s="3" t="s">
        <v>31</v>
      </c>
      <c r="R484" s="3" t="s">
        <v>29</v>
      </c>
      <c r="S484" s="5">
        <v>14272.0</v>
      </c>
      <c r="T484" s="3"/>
      <c r="U484" s="3"/>
      <c r="V484" s="3"/>
      <c r="W484" s="3"/>
      <c r="X484" s="3"/>
    </row>
    <row r="485">
      <c r="A485" s="3" t="s">
        <v>1034</v>
      </c>
      <c r="B485" s="3" t="s">
        <v>1035</v>
      </c>
      <c r="C485" s="3" t="s">
        <v>21</v>
      </c>
      <c r="D485" s="3" t="s">
        <v>22</v>
      </c>
      <c r="E485" s="3" t="s">
        <v>1025</v>
      </c>
      <c r="F485" s="3" t="s">
        <v>28</v>
      </c>
      <c r="G485" s="3" t="s">
        <v>29</v>
      </c>
      <c r="H485" s="3" t="s">
        <v>30</v>
      </c>
      <c r="I485" s="3" t="s">
        <v>25</v>
      </c>
      <c r="J485" s="3" t="s">
        <v>30</v>
      </c>
      <c r="K485" s="3" t="s">
        <v>25</v>
      </c>
      <c r="L485" s="5">
        <v>500.0</v>
      </c>
      <c r="M485" s="5">
        <v>305.0</v>
      </c>
      <c r="N485" s="5">
        <v>315.0</v>
      </c>
      <c r="O485" s="5">
        <v>1120.0</v>
      </c>
      <c r="P485" s="6">
        <v>44669.0</v>
      </c>
      <c r="Q485" s="3" t="s">
        <v>31</v>
      </c>
      <c r="R485" s="3" t="s">
        <v>29</v>
      </c>
      <c r="S485" s="5">
        <v>310158.0</v>
      </c>
      <c r="T485" s="3"/>
      <c r="U485" s="3"/>
      <c r="V485" s="3"/>
      <c r="W485" s="3"/>
      <c r="X485" s="3"/>
    </row>
    <row r="486">
      <c r="A486" s="3" t="s">
        <v>1036</v>
      </c>
      <c r="B486" s="3" t="s">
        <v>1037</v>
      </c>
      <c r="C486" s="3" t="s">
        <v>21</v>
      </c>
      <c r="D486" s="3" t="s">
        <v>22</v>
      </c>
      <c r="E486" s="3" t="s">
        <v>1025</v>
      </c>
      <c r="F486" s="3" t="s">
        <v>28</v>
      </c>
      <c r="G486" s="3" t="s">
        <v>29</v>
      </c>
      <c r="H486" s="3" t="s">
        <v>30</v>
      </c>
      <c r="I486" s="3" t="s">
        <v>25</v>
      </c>
      <c r="J486" s="3" t="s">
        <v>30</v>
      </c>
      <c r="K486" s="3" t="s">
        <v>25</v>
      </c>
      <c r="L486" s="5">
        <v>500.0</v>
      </c>
      <c r="M486" s="5">
        <v>300.0</v>
      </c>
      <c r="N486" s="5">
        <v>300.0</v>
      </c>
      <c r="O486" s="5">
        <v>1100.0</v>
      </c>
      <c r="P486" s="6">
        <v>44669.0</v>
      </c>
      <c r="Q486" s="3" t="s">
        <v>31</v>
      </c>
      <c r="R486" s="3" t="s">
        <v>29</v>
      </c>
      <c r="S486" s="5">
        <v>78003.0</v>
      </c>
      <c r="T486" s="3"/>
      <c r="U486" s="3"/>
      <c r="V486" s="3"/>
      <c r="W486" s="3"/>
      <c r="X486" s="3"/>
    </row>
    <row r="487">
      <c r="A487" s="3" t="s">
        <v>1038</v>
      </c>
      <c r="B487" s="3" t="s">
        <v>1039</v>
      </c>
      <c r="C487" s="3" t="s">
        <v>21</v>
      </c>
      <c r="D487" s="3" t="s">
        <v>22</v>
      </c>
      <c r="E487" s="3" t="s">
        <v>1025</v>
      </c>
      <c r="F487" s="3" t="s">
        <v>31</v>
      </c>
      <c r="G487" s="3" t="s">
        <v>29</v>
      </c>
      <c r="H487" s="3" t="s">
        <v>30</v>
      </c>
      <c r="I487" s="3" t="s">
        <v>25</v>
      </c>
      <c r="J487" s="3" t="s">
        <v>30</v>
      </c>
      <c r="K487" s="3" t="s">
        <v>25</v>
      </c>
      <c r="L487" s="5">
        <v>483.0</v>
      </c>
      <c r="M487" s="5">
        <v>303.0</v>
      </c>
      <c r="N487" s="5">
        <v>305.0</v>
      </c>
      <c r="O487" s="5">
        <v>1091.0</v>
      </c>
      <c r="P487" s="6">
        <v>44667.0</v>
      </c>
      <c r="Q487" s="3" t="s">
        <v>31</v>
      </c>
      <c r="R487" s="3" t="s">
        <v>29</v>
      </c>
      <c r="S487" s="5">
        <v>1596783.0</v>
      </c>
      <c r="T487" s="3"/>
      <c r="U487" s="3"/>
      <c r="V487" s="3"/>
      <c r="W487" s="3"/>
      <c r="X487" s="3"/>
    </row>
    <row r="488">
      <c r="A488" s="3" t="s">
        <v>1040</v>
      </c>
      <c r="B488" s="3" t="s">
        <v>1041</v>
      </c>
      <c r="C488" s="3" t="s">
        <v>21</v>
      </c>
      <c r="D488" s="3" t="s">
        <v>59</v>
      </c>
      <c r="E488" s="3" t="s">
        <v>1025</v>
      </c>
      <c r="F488" s="3" t="s">
        <v>28</v>
      </c>
      <c r="G488" s="3" t="s">
        <v>29</v>
      </c>
      <c r="H488" s="3" t="s">
        <v>24</v>
      </c>
      <c r="I488" s="3" t="s">
        <v>25</v>
      </c>
      <c r="J488" s="3" t="s">
        <v>30</v>
      </c>
      <c r="K488" s="3" t="s">
        <v>25</v>
      </c>
      <c r="L488" s="5">
        <v>500.0</v>
      </c>
      <c r="M488" s="5">
        <v>264.0</v>
      </c>
      <c r="N488" s="5">
        <v>310.0</v>
      </c>
      <c r="O488" s="5">
        <v>1074.0</v>
      </c>
      <c r="P488" s="6">
        <v>44667.0</v>
      </c>
      <c r="Q488" s="3" t="s">
        <v>31</v>
      </c>
      <c r="R488" s="3" t="s">
        <v>29</v>
      </c>
      <c r="S488" s="5">
        <v>1337553.0</v>
      </c>
      <c r="T488" s="3"/>
      <c r="U488" s="3"/>
      <c r="V488" s="3"/>
      <c r="W488" s="3"/>
      <c r="X488" s="3"/>
    </row>
    <row r="489">
      <c r="A489" s="3" t="s">
        <v>1042</v>
      </c>
      <c r="B489" s="3" t="s">
        <v>1043</v>
      </c>
      <c r="C489" s="3" t="s">
        <v>21</v>
      </c>
      <c r="D489" s="3" t="s">
        <v>59</v>
      </c>
      <c r="E489" s="3" t="s">
        <v>1025</v>
      </c>
      <c r="F489" s="3" t="s">
        <v>28</v>
      </c>
      <c r="G489" s="3" t="s">
        <v>29</v>
      </c>
      <c r="H489" s="3" t="s">
        <v>30</v>
      </c>
      <c r="I489" s="3" t="s">
        <v>25</v>
      </c>
      <c r="J489" s="3" t="s">
        <v>24</v>
      </c>
      <c r="K489" s="3" t="s">
        <v>25</v>
      </c>
      <c r="L489" s="5">
        <v>500.0</v>
      </c>
      <c r="M489" s="5">
        <v>300.0</v>
      </c>
      <c r="N489" s="5">
        <v>200.0</v>
      </c>
      <c r="O489" s="5">
        <v>1000.0</v>
      </c>
      <c r="P489" s="6">
        <v>44828.0</v>
      </c>
      <c r="Q489" s="3" t="s">
        <v>31</v>
      </c>
      <c r="R489" s="3" t="s">
        <v>29</v>
      </c>
      <c r="S489" s="5">
        <v>1792044.0</v>
      </c>
      <c r="T489" s="3"/>
      <c r="U489" s="3"/>
      <c r="V489" s="3"/>
      <c r="W489" s="3"/>
      <c r="X489" s="3"/>
    </row>
    <row r="490">
      <c r="A490" s="3" t="s">
        <v>1044</v>
      </c>
      <c r="B490" s="3" t="s">
        <v>1045</v>
      </c>
      <c r="C490" s="3" t="s">
        <v>21</v>
      </c>
      <c r="D490" s="3" t="s">
        <v>59</v>
      </c>
      <c r="E490" s="3" t="s">
        <v>1025</v>
      </c>
      <c r="F490" s="3" t="s">
        <v>24</v>
      </c>
      <c r="G490" s="3" t="s">
        <v>25</v>
      </c>
      <c r="H490" s="3" t="s">
        <v>24</v>
      </c>
      <c r="I490" s="3" t="s">
        <v>25</v>
      </c>
      <c r="J490" s="3" t="s">
        <v>30</v>
      </c>
      <c r="K490" s="3" t="s">
        <v>25</v>
      </c>
      <c r="L490" s="5">
        <v>223.0</v>
      </c>
      <c r="M490" s="5">
        <v>291.0</v>
      </c>
      <c r="N490" s="5">
        <v>310.0</v>
      </c>
      <c r="O490" s="5">
        <v>824.0</v>
      </c>
      <c r="P490" s="6">
        <v>44722.0</v>
      </c>
      <c r="Q490" s="3" t="s">
        <v>30</v>
      </c>
      <c r="R490" s="3" t="s">
        <v>25</v>
      </c>
      <c r="S490" s="5">
        <v>1069308.0</v>
      </c>
      <c r="T490" s="3"/>
      <c r="U490" s="3"/>
      <c r="V490" s="3"/>
      <c r="W490" s="3"/>
      <c r="X490" s="3"/>
    </row>
    <row r="491">
      <c r="A491" s="3" t="s">
        <v>1046</v>
      </c>
      <c r="B491" s="3" t="s">
        <v>1047</v>
      </c>
      <c r="C491" s="3" t="s">
        <v>21</v>
      </c>
      <c r="D491" s="3" t="s">
        <v>59</v>
      </c>
      <c r="E491" s="3" t="s">
        <v>1025</v>
      </c>
      <c r="F491" s="3" t="s">
        <v>24</v>
      </c>
      <c r="G491" s="3" t="s">
        <v>25</v>
      </c>
      <c r="H491" s="3" t="s">
        <v>24</v>
      </c>
      <c r="I491" s="3" t="s">
        <v>25</v>
      </c>
      <c r="J491" s="3" t="s">
        <v>30</v>
      </c>
      <c r="K491" s="3" t="s">
        <v>25</v>
      </c>
      <c r="L491" s="5">
        <v>225.0</v>
      </c>
      <c r="M491" s="5">
        <v>216.0</v>
      </c>
      <c r="N491" s="5">
        <v>305.0</v>
      </c>
      <c r="O491" s="5">
        <v>746.0</v>
      </c>
      <c r="P491" s="6">
        <v>44667.0</v>
      </c>
      <c r="Q491" s="3" t="s">
        <v>24</v>
      </c>
      <c r="R491" s="3" t="s">
        <v>25</v>
      </c>
      <c r="S491" s="5">
        <v>1541157.0</v>
      </c>
      <c r="T491" s="3"/>
      <c r="U491" s="3"/>
      <c r="V491" s="3"/>
      <c r="W491" s="3"/>
      <c r="X491" s="3"/>
    </row>
    <row r="492">
      <c r="A492" s="3" t="s">
        <v>1048</v>
      </c>
      <c r="B492" s="3" t="s">
        <v>1049</v>
      </c>
      <c r="C492" s="3" t="s">
        <v>21</v>
      </c>
      <c r="D492" s="3" t="s">
        <v>59</v>
      </c>
      <c r="E492" s="3" t="s">
        <v>1025</v>
      </c>
      <c r="F492" s="3" t="s">
        <v>24</v>
      </c>
      <c r="G492" s="3" t="s">
        <v>25</v>
      </c>
      <c r="H492" s="3" t="s">
        <v>24</v>
      </c>
      <c r="I492" s="3" t="s">
        <v>25</v>
      </c>
      <c r="J492" s="3" t="s">
        <v>30</v>
      </c>
      <c r="K492" s="3" t="s">
        <v>25</v>
      </c>
      <c r="L492" s="5">
        <v>200.0</v>
      </c>
      <c r="M492" s="5">
        <v>237.0</v>
      </c>
      <c r="N492" s="5">
        <v>300.0</v>
      </c>
      <c r="O492" s="5">
        <v>737.0</v>
      </c>
      <c r="P492" s="6">
        <v>44667.0</v>
      </c>
      <c r="Q492" s="3" t="s">
        <v>24</v>
      </c>
      <c r="R492" s="3" t="s">
        <v>25</v>
      </c>
      <c r="S492" s="5">
        <v>1427925.0</v>
      </c>
      <c r="T492" s="3"/>
      <c r="U492" s="3"/>
      <c r="V492" s="3"/>
      <c r="W492" s="3"/>
      <c r="X492" s="3"/>
    </row>
    <row r="493">
      <c r="A493" s="3" t="s">
        <v>1050</v>
      </c>
      <c r="B493" s="3" t="s">
        <v>1051</v>
      </c>
      <c r="C493" s="3" t="s">
        <v>21</v>
      </c>
      <c r="D493" s="3" t="s">
        <v>59</v>
      </c>
      <c r="E493" s="3" t="s">
        <v>1025</v>
      </c>
      <c r="F493" s="3" t="s">
        <v>24</v>
      </c>
      <c r="G493" s="3" t="s">
        <v>25</v>
      </c>
      <c r="H493" s="3" t="s">
        <v>24</v>
      </c>
      <c r="I493" s="3" t="s">
        <v>25</v>
      </c>
      <c r="J493" s="3" t="s">
        <v>24</v>
      </c>
      <c r="K493" s="3" t="s">
        <v>25</v>
      </c>
      <c r="L493" s="5">
        <v>285.0</v>
      </c>
      <c r="M493" s="5">
        <v>204.0</v>
      </c>
      <c r="N493" s="5">
        <v>215.0</v>
      </c>
      <c r="O493" s="5">
        <v>704.0</v>
      </c>
      <c r="P493" s="6">
        <v>44667.0</v>
      </c>
      <c r="Q493" s="3" t="s">
        <v>24</v>
      </c>
      <c r="R493" s="3" t="s">
        <v>25</v>
      </c>
      <c r="S493" s="5">
        <v>887247.0</v>
      </c>
      <c r="T493" s="3"/>
      <c r="U493" s="3"/>
      <c r="V493" s="3"/>
      <c r="W493" s="3"/>
      <c r="X493" s="3"/>
    </row>
    <row r="494">
      <c r="A494" s="3" t="s">
        <v>1052</v>
      </c>
      <c r="B494" s="3" t="s">
        <v>1053</v>
      </c>
      <c r="C494" s="3" t="s">
        <v>21</v>
      </c>
      <c r="D494" s="3" t="s">
        <v>59</v>
      </c>
      <c r="E494" s="3" t="s">
        <v>1025</v>
      </c>
      <c r="F494" s="3" t="s">
        <v>24</v>
      </c>
      <c r="G494" s="3" t="s">
        <v>25</v>
      </c>
      <c r="H494" s="3" t="s">
        <v>24</v>
      </c>
      <c r="I494" s="3" t="s">
        <v>25</v>
      </c>
      <c r="J494" s="3" t="s">
        <v>30</v>
      </c>
      <c r="K494" s="3" t="s">
        <v>25</v>
      </c>
      <c r="L494" s="5">
        <v>200.0</v>
      </c>
      <c r="M494" s="5">
        <v>203.0</v>
      </c>
      <c r="N494" s="5">
        <v>300.0</v>
      </c>
      <c r="O494" s="5">
        <v>703.0</v>
      </c>
      <c r="P494" s="6">
        <v>44722.0</v>
      </c>
      <c r="Q494" s="3" t="s">
        <v>24</v>
      </c>
      <c r="R494" s="3" t="s">
        <v>25</v>
      </c>
      <c r="S494" s="5">
        <v>1513525.0</v>
      </c>
      <c r="T494" s="3"/>
      <c r="U494" s="3"/>
      <c r="V494" s="3"/>
      <c r="W494" s="3"/>
      <c r="X494" s="3"/>
    </row>
    <row r="495">
      <c r="A495" s="3" t="s">
        <v>1054</v>
      </c>
      <c r="B495" s="3" t="s">
        <v>1055</v>
      </c>
      <c r="C495" s="3" t="s">
        <v>21</v>
      </c>
      <c r="D495" s="3" t="s">
        <v>59</v>
      </c>
      <c r="E495" s="3" t="s">
        <v>1025</v>
      </c>
      <c r="F495" s="3" t="s">
        <v>24</v>
      </c>
      <c r="G495" s="3" t="s">
        <v>25</v>
      </c>
      <c r="H495" s="3" t="s">
        <v>24</v>
      </c>
      <c r="I495" s="3" t="s">
        <v>25</v>
      </c>
      <c r="J495" s="3" t="s">
        <v>24</v>
      </c>
      <c r="K495" s="3" t="s">
        <v>25</v>
      </c>
      <c r="L495" s="5">
        <v>240.0</v>
      </c>
      <c r="M495" s="5">
        <v>203.0</v>
      </c>
      <c r="N495" s="5">
        <v>260.0</v>
      </c>
      <c r="O495" s="5">
        <v>703.0</v>
      </c>
      <c r="P495" s="6">
        <v>44667.0</v>
      </c>
      <c r="Q495" s="3" t="s">
        <v>24</v>
      </c>
      <c r="R495" s="3" t="s">
        <v>25</v>
      </c>
      <c r="S495" s="5">
        <v>1261249.0</v>
      </c>
      <c r="T495" s="3"/>
      <c r="U495" s="3"/>
      <c r="V495" s="3"/>
      <c r="W495" s="3"/>
      <c r="X495" s="3"/>
    </row>
    <row r="496">
      <c r="A496" s="3" t="s">
        <v>1056</v>
      </c>
      <c r="B496" s="3" t="s">
        <v>1057</v>
      </c>
      <c r="C496" s="3" t="s">
        <v>21</v>
      </c>
      <c r="D496" s="3" t="s">
        <v>59</v>
      </c>
      <c r="E496" s="3" t="s">
        <v>1025</v>
      </c>
      <c r="F496" s="3" t="s">
        <v>24</v>
      </c>
      <c r="G496" s="3" t="s">
        <v>25</v>
      </c>
      <c r="H496" s="3" t="s">
        <v>24</v>
      </c>
      <c r="I496" s="3" t="s">
        <v>25</v>
      </c>
      <c r="J496" s="3" t="s">
        <v>24</v>
      </c>
      <c r="K496" s="3" t="s">
        <v>25</v>
      </c>
      <c r="L496" s="5">
        <v>205.0</v>
      </c>
      <c r="M496" s="5">
        <v>257.0</v>
      </c>
      <c r="N496" s="5">
        <v>230.0</v>
      </c>
      <c r="O496" s="5">
        <v>692.0</v>
      </c>
      <c r="P496" s="6">
        <v>44723.0</v>
      </c>
      <c r="Q496" s="3" t="s">
        <v>24</v>
      </c>
      <c r="R496" s="3" t="s">
        <v>25</v>
      </c>
      <c r="S496" s="5">
        <v>1321834.0</v>
      </c>
      <c r="T496" s="3"/>
      <c r="U496" s="3"/>
      <c r="V496" s="3"/>
      <c r="W496" s="3"/>
      <c r="X496" s="3"/>
    </row>
    <row r="497">
      <c r="A497" s="3" t="s">
        <v>1058</v>
      </c>
      <c r="B497" s="3" t="s">
        <v>1059</v>
      </c>
      <c r="C497" s="3" t="s">
        <v>21</v>
      </c>
      <c r="D497" s="3" t="s">
        <v>59</v>
      </c>
      <c r="E497" s="3" t="s">
        <v>1025</v>
      </c>
      <c r="F497" s="3" t="s">
        <v>24</v>
      </c>
      <c r="G497" s="3" t="s">
        <v>25</v>
      </c>
      <c r="H497" s="3" t="s">
        <v>24</v>
      </c>
      <c r="I497" s="3" t="s">
        <v>25</v>
      </c>
      <c r="J497" s="3" t="s">
        <v>24</v>
      </c>
      <c r="K497" s="3" t="s">
        <v>25</v>
      </c>
      <c r="L497" s="5">
        <v>220.0</v>
      </c>
      <c r="M497" s="5">
        <v>228.0</v>
      </c>
      <c r="N497" s="5">
        <v>243.0</v>
      </c>
      <c r="O497" s="5">
        <v>691.0</v>
      </c>
      <c r="P497" s="6">
        <v>44667.0</v>
      </c>
      <c r="Q497" s="3" t="s">
        <v>24</v>
      </c>
      <c r="R497" s="3" t="s">
        <v>25</v>
      </c>
      <c r="S497" s="5">
        <v>1267602.0</v>
      </c>
      <c r="T497" s="3"/>
      <c r="U497" s="3"/>
      <c r="V497" s="3"/>
      <c r="W497" s="3"/>
      <c r="X497" s="3"/>
    </row>
    <row r="498">
      <c r="A498" s="3" t="s">
        <v>1060</v>
      </c>
      <c r="B498" s="3" t="s">
        <v>1061</v>
      </c>
      <c r="C498" s="3" t="s">
        <v>21</v>
      </c>
      <c r="D498" s="3" t="s">
        <v>59</v>
      </c>
      <c r="E498" s="3" t="s">
        <v>1025</v>
      </c>
      <c r="F498" s="3" t="s">
        <v>24</v>
      </c>
      <c r="G498" s="3" t="s">
        <v>25</v>
      </c>
      <c r="H498" s="3" t="s">
        <v>24</v>
      </c>
      <c r="I498" s="3" t="s">
        <v>25</v>
      </c>
      <c r="J498" s="3" t="s">
        <v>24</v>
      </c>
      <c r="K498" s="3" t="s">
        <v>25</v>
      </c>
      <c r="L498" s="5">
        <v>225.0</v>
      </c>
      <c r="M498" s="5">
        <v>243.0</v>
      </c>
      <c r="N498" s="5">
        <v>205.0</v>
      </c>
      <c r="O498" s="5">
        <v>673.0</v>
      </c>
      <c r="P498" s="6">
        <v>44722.0</v>
      </c>
      <c r="Q498" s="3" t="s">
        <v>24</v>
      </c>
      <c r="R498" s="3" t="s">
        <v>25</v>
      </c>
      <c r="S498" s="5">
        <v>1819615.0</v>
      </c>
      <c r="T498" s="3"/>
      <c r="U498" s="3"/>
      <c r="V498" s="3"/>
      <c r="W498" s="3"/>
      <c r="X498" s="3"/>
    </row>
    <row r="499">
      <c r="A499" s="3" t="s">
        <v>1062</v>
      </c>
      <c r="B499" s="3" t="s">
        <v>1063</v>
      </c>
      <c r="C499" s="3" t="s">
        <v>21</v>
      </c>
      <c r="D499" s="3" t="s">
        <v>59</v>
      </c>
      <c r="E499" s="3" t="s">
        <v>1025</v>
      </c>
      <c r="F499" s="3" t="s">
        <v>24</v>
      </c>
      <c r="G499" s="3" t="s">
        <v>25</v>
      </c>
      <c r="H499" s="3" t="s">
        <v>24</v>
      </c>
      <c r="I499" s="3" t="s">
        <v>25</v>
      </c>
      <c r="J499" s="3" t="s">
        <v>24</v>
      </c>
      <c r="K499" s="3" t="s">
        <v>25</v>
      </c>
      <c r="L499" s="5">
        <v>230.0</v>
      </c>
      <c r="M499" s="5">
        <v>207.0</v>
      </c>
      <c r="N499" s="5">
        <v>220.0</v>
      </c>
      <c r="O499" s="5">
        <v>657.0</v>
      </c>
      <c r="P499" s="6">
        <v>44667.0</v>
      </c>
      <c r="Q499" s="3" t="s">
        <v>24</v>
      </c>
      <c r="R499" s="3" t="s">
        <v>25</v>
      </c>
      <c r="S499" s="5">
        <v>1557746.0</v>
      </c>
      <c r="T499" s="3"/>
      <c r="U499" s="3"/>
      <c r="V499" s="3"/>
      <c r="W499" s="3"/>
      <c r="X499" s="3"/>
    </row>
    <row r="500">
      <c r="A500" s="3" t="s">
        <v>1064</v>
      </c>
      <c r="B500" s="3" t="s">
        <v>1065</v>
      </c>
      <c r="C500" s="3" t="s">
        <v>21</v>
      </c>
      <c r="D500" s="3" t="s">
        <v>59</v>
      </c>
      <c r="E500" s="3" t="s">
        <v>1025</v>
      </c>
      <c r="F500" s="3" t="s">
        <v>24</v>
      </c>
      <c r="G500" s="3" t="s">
        <v>25</v>
      </c>
      <c r="H500" s="3" t="s">
        <v>24</v>
      </c>
      <c r="I500" s="3" t="s">
        <v>25</v>
      </c>
      <c r="J500" s="3" t="s">
        <v>24</v>
      </c>
      <c r="K500" s="3" t="s">
        <v>25</v>
      </c>
      <c r="L500" s="5">
        <v>215.0</v>
      </c>
      <c r="M500" s="5">
        <v>230.0</v>
      </c>
      <c r="N500" s="5">
        <v>200.0</v>
      </c>
      <c r="O500" s="5">
        <v>645.0</v>
      </c>
      <c r="P500" s="6">
        <v>44768.0</v>
      </c>
      <c r="Q500" s="3" t="s">
        <v>24</v>
      </c>
      <c r="R500" s="3" t="s">
        <v>25</v>
      </c>
      <c r="S500" s="5">
        <v>1539029.0</v>
      </c>
      <c r="T500" s="3"/>
      <c r="U500" s="3"/>
      <c r="V500" s="3"/>
      <c r="W500" s="3"/>
      <c r="X500" s="3"/>
    </row>
    <row r="501">
      <c r="A501" s="3" t="s">
        <v>1066</v>
      </c>
      <c r="B501" s="3" t="s">
        <v>1067</v>
      </c>
      <c r="C501" s="3" t="s">
        <v>21</v>
      </c>
      <c r="D501" s="3" t="s">
        <v>59</v>
      </c>
      <c r="E501" s="3" t="s">
        <v>1068</v>
      </c>
      <c r="F501" s="3" t="s">
        <v>147</v>
      </c>
      <c r="G501" s="3" t="s">
        <v>148</v>
      </c>
      <c r="H501" s="3" t="s">
        <v>30</v>
      </c>
      <c r="I501" s="3" t="s">
        <v>25</v>
      </c>
      <c r="J501" s="3" t="s">
        <v>30</v>
      </c>
      <c r="K501" s="3" t="s">
        <v>25</v>
      </c>
      <c r="L501" s="5">
        <v>615.0</v>
      </c>
      <c r="M501" s="5">
        <v>366.0</v>
      </c>
      <c r="N501" s="5">
        <v>300.0</v>
      </c>
      <c r="O501" s="5">
        <v>1281.0</v>
      </c>
      <c r="P501" s="6">
        <v>44670.0</v>
      </c>
      <c r="Q501" s="3" t="s">
        <v>28</v>
      </c>
      <c r="R501" s="3" t="s">
        <v>29</v>
      </c>
      <c r="S501" s="5">
        <v>1442145.0</v>
      </c>
      <c r="T501" s="3"/>
      <c r="U501" s="3"/>
      <c r="V501" s="3"/>
      <c r="W501" s="3"/>
      <c r="X501" s="3"/>
    </row>
    <row r="502">
      <c r="A502" s="3" t="s">
        <v>1069</v>
      </c>
      <c r="B502" s="3" t="s">
        <v>1070</v>
      </c>
      <c r="C502" s="3" t="s">
        <v>21</v>
      </c>
      <c r="D502" s="3" t="s">
        <v>22</v>
      </c>
      <c r="E502" s="3" t="s">
        <v>1068</v>
      </c>
      <c r="F502" s="3" t="s">
        <v>28</v>
      </c>
      <c r="G502" s="3" t="s">
        <v>29</v>
      </c>
      <c r="H502" s="3" t="s">
        <v>30</v>
      </c>
      <c r="I502" s="3" t="s">
        <v>25</v>
      </c>
      <c r="J502" s="3" t="s">
        <v>30</v>
      </c>
      <c r="K502" s="3" t="s">
        <v>25</v>
      </c>
      <c r="L502" s="5">
        <v>510.0</v>
      </c>
      <c r="M502" s="5">
        <v>313.0</v>
      </c>
      <c r="N502" s="5">
        <v>310.0</v>
      </c>
      <c r="O502" s="5">
        <v>1133.0</v>
      </c>
      <c r="P502" s="6">
        <v>44670.0</v>
      </c>
      <c r="Q502" s="3" t="s">
        <v>31</v>
      </c>
      <c r="R502" s="3" t="s">
        <v>29</v>
      </c>
      <c r="S502" s="5">
        <v>1552033.0</v>
      </c>
      <c r="T502" s="3"/>
      <c r="U502" s="3"/>
      <c r="V502" s="3"/>
      <c r="W502" s="3"/>
      <c r="X502" s="3"/>
    </row>
    <row r="503">
      <c r="A503" s="3" t="s">
        <v>1071</v>
      </c>
      <c r="B503" s="3" t="s">
        <v>1072</v>
      </c>
      <c r="C503" s="3" t="s">
        <v>21</v>
      </c>
      <c r="D503" s="3" t="s">
        <v>22</v>
      </c>
      <c r="E503" s="3" t="s">
        <v>1068</v>
      </c>
      <c r="F503" s="3" t="s">
        <v>28</v>
      </c>
      <c r="G503" s="3" t="s">
        <v>29</v>
      </c>
      <c r="H503" s="3" t="s">
        <v>30</v>
      </c>
      <c r="I503" s="3" t="s">
        <v>25</v>
      </c>
      <c r="J503" s="3" t="s">
        <v>30</v>
      </c>
      <c r="K503" s="3" t="s">
        <v>25</v>
      </c>
      <c r="L503" s="5">
        <v>500.0</v>
      </c>
      <c r="M503" s="5">
        <v>310.0</v>
      </c>
      <c r="N503" s="5">
        <v>300.0</v>
      </c>
      <c r="O503" s="5">
        <v>1110.0</v>
      </c>
      <c r="P503" s="6">
        <v>44669.0</v>
      </c>
      <c r="Q503" s="3" t="s">
        <v>31</v>
      </c>
      <c r="R503" s="3" t="s">
        <v>29</v>
      </c>
      <c r="S503" s="5">
        <v>1492633.0</v>
      </c>
      <c r="T503" s="3"/>
      <c r="U503" s="3"/>
      <c r="V503" s="3"/>
      <c r="W503" s="3"/>
      <c r="X503" s="3"/>
    </row>
    <row r="504">
      <c r="A504" s="3" t="s">
        <v>1073</v>
      </c>
      <c r="B504" s="3" t="s">
        <v>1074</v>
      </c>
      <c r="C504" s="3" t="s">
        <v>21</v>
      </c>
      <c r="D504" s="3" t="s">
        <v>22</v>
      </c>
      <c r="E504" s="3" t="s">
        <v>1068</v>
      </c>
      <c r="F504" s="3" t="s">
        <v>28</v>
      </c>
      <c r="G504" s="3" t="s">
        <v>29</v>
      </c>
      <c r="H504" s="3" t="s">
        <v>30</v>
      </c>
      <c r="I504" s="3" t="s">
        <v>25</v>
      </c>
      <c r="J504" s="3" t="s">
        <v>30</v>
      </c>
      <c r="K504" s="3" t="s">
        <v>25</v>
      </c>
      <c r="L504" s="5">
        <v>500.0</v>
      </c>
      <c r="M504" s="5">
        <v>300.0</v>
      </c>
      <c r="N504" s="5">
        <v>300.0</v>
      </c>
      <c r="O504" s="5">
        <v>1100.0</v>
      </c>
      <c r="P504" s="6">
        <v>44669.0</v>
      </c>
      <c r="Q504" s="3" t="s">
        <v>31</v>
      </c>
      <c r="R504" s="3" t="s">
        <v>29</v>
      </c>
      <c r="S504" s="5">
        <v>1336920.0</v>
      </c>
      <c r="T504" s="3"/>
      <c r="U504" s="3"/>
      <c r="V504" s="3"/>
      <c r="W504" s="3"/>
      <c r="X504" s="3"/>
    </row>
    <row r="505">
      <c r="A505" s="3" t="s">
        <v>1075</v>
      </c>
      <c r="B505" s="3" t="s">
        <v>1076</v>
      </c>
      <c r="C505" s="3" t="s">
        <v>21</v>
      </c>
      <c r="D505" s="3" t="s">
        <v>22</v>
      </c>
      <c r="E505" s="3" t="s">
        <v>1068</v>
      </c>
      <c r="F505" s="3" t="s">
        <v>30</v>
      </c>
      <c r="G505" s="3" t="s">
        <v>25</v>
      </c>
      <c r="H505" s="3" t="s">
        <v>30</v>
      </c>
      <c r="I505" s="3" t="s">
        <v>25</v>
      </c>
      <c r="J505" s="3" t="s">
        <v>30</v>
      </c>
      <c r="K505" s="3" t="s">
        <v>25</v>
      </c>
      <c r="L505" s="5">
        <v>390.0</v>
      </c>
      <c r="M505" s="5">
        <v>300.0</v>
      </c>
      <c r="N505" s="5">
        <v>305.0</v>
      </c>
      <c r="O505" s="5">
        <v>995.0</v>
      </c>
      <c r="P505" s="6">
        <v>44722.0</v>
      </c>
      <c r="Q505" s="3" t="s">
        <v>31</v>
      </c>
      <c r="R505" s="3" t="s">
        <v>29</v>
      </c>
      <c r="S505" s="5">
        <v>33185.0</v>
      </c>
      <c r="T505" s="3"/>
      <c r="U505" s="3"/>
      <c r="V505" s="3"/>
      <c r="W505" s="3"/>
      <c r="X505" s="3"/>
    </row>
    <row r="506">
      <c r="A506" s="3" t="s">
        <v>1077</v>
      </c>
      <c r="B506" s="3" t="s">
        <v>1078</v>
      </c>
      <c r="C506" s="3" t="s">
        <v>21</v>
      </c>
      <c r="D506" s="3" t="s">
        <v>22</v>
      </c>
      <c r="E506" s="3" t="s">
        <v>1068</v>
      </c>
      <c r="F506" s="3" t="s">
        <v>24</v>
      </c>
      <c r="G506" s="3" t="s">
        <v>25</v>
      </c>
      <c r="H506" s="3" t="s">
        <v>30</v>
      </c>
      <c r="I506" s="3" t="s">
        <v>25</v>
      </c>
      <c r="J506" s="3" t="s">
        <v>30</v>
      </c>
      <c r="K506" s="3" t="s">
        <v>25</v>
      </c>
      <c r="L506" s="5">
        <v>255.0</v>
      </c>
      <c r="M506" s="5">
        <v>334.0</v>
      </c>
      <c r="N506" s="5">
        <v>310.0</v>
      </c>
      <c r="O506" s="5">
        <v>899.0</v>
      </c>
      <c r="P506" s="6">
        <v>44670.0</v>
      </c>
      <c r="Q506" s="3" t="s">
        <v>30</v>
      </c>
      <c r="R506" s="3" t="s">
        <v>25</v>
      </c>
      <c r="S506" s="5">
        <v>315213.0</v>
      </c>
      <c r="T506" s="3"/>
      <c r="U506" s="3"/>
      <c r="V506" s="3"/>
      <c r="W506" s="3"/>
      <c r="X506" s="3"/>
    </row>
    <row r="507">
      <c r="A507" s="3" t="s">
        <v>1079</v>
      </c>
      <c r="B507" s="3" t="s">
        <v>1080</v>
      </c>
      <c r="C507" s="3" t="s">
        <v>21</v>
      </c>
      <c r="D507" s="3" t="s">
        <v>59</v>
      </c>
      <c r="E507" s="3" t="s">
        <v>1068</v>
      </c>
      <c r="F507" s="3" t="s">
        <v>24</v>
      </c>
      <c r="G507" s="3" t="s">
        <v>25</v>
      </c>
      <c r="H507" s="3" t="s">
        <v>24</v>
      </c>
      <c r="I507" s="3" t="s">
        <v>25</v>
      </c>
      <c r="J507" s="3" t="s">
        <v>24</v>
      </c>
      <c r="K507" s="3" t="s">
        <v>25</v>
      </c>
      <c r="L507" s="5">
        <v>275.0</v>
      </c>
      <c r="M507" s="5">
        <v>264.0</v>
      </c>
      <c r="N507" s="5">
        <v>278.0</v>
      </c>
      <c r="O507" s="5">
        <v>817.0</v>
      </c>
      <c r="P507" s="6">
        <v>44722.0</v>
      </c>
      <c r="Q507" s="3" t="s">
        <v>30</v>
      </c>
      <c r="R507" s="3" t="s">
        <v>25</v>
      </c>
      <c r="S507" s="5">
        <v>1627475.0</v>
      </c>
      <c r="T507" s="3"/>
      <c r="U507" s="3"/>
      <c r="V507" s="3"/>
      <c r="W507" s="3"/>
      <c r="X507" s="3"/>
    </row>
    <row r="508">
      <c r="A508" s="3" t="s">
        <v>1081</v>
      </c>
      <c r="B508" s="3" t="s">
        <v>1082</v>
      </c>
      <c r="C508" s="3" t="s">
        <v>21</v>
      </c>
      <c r="D508" s="3" t="s">
        <v>22</v>
      </c>
      <c r="E508" s="3" t="s">
        <v>1083</v>
      </c>
      <c r="F508" s="3" t="s">
        <v>147</v>
      </c>
      <c r="G508" s="3" t="s">
        <v>148</v>
      </c>
      <c r="H508" s="3" t="s">
        <v>31</v>
      </c>
      <c r="I508" s="3" t="s">
        <v>29</v>
      </c>
      <c r="J508" s="3" t="s">
        <v>30</v>
      </c>
      <c r="K508" s="3" t="s">
        <v>25</v>
      </c>
      <c r="L508" s="5">
        <v>646.0</v>
      </c>
      <c r="M508" s="5">
        <v>404.0</v>
      </c>
      <c r="N508" s="5">
        <v>313.0</v>
      </c>
      <c r="O508" s="5">
        <v>1363.0</v>
      </c>
      <c r="P508" s="6">
        <v>44872.0</v>
      </c>
      <c r="Q508" s="3" t="s">
        <v>28</v>
      </c>
      <c r="R508" s="3" t="s">
        <v>29</v>
      </c>
      <c r="S508" s="5">
        <v>1561894.0</v>
      </c>
      <c r="T508" s="3"/>
      <c r="U508" s="3"/>
      <c r="V508" s="3"/>
      <c r="W508" s="3"/>
      <c r="X508" s="3"/>
    </row>
    <row r="509">
      <c r="A509" s="3" t="s">
        <v>1084</v>
      </c>
      <c r="B509" s="3" t="s">
        <v>1085</v>
      </c>
      <c r="C509" s="3" t="s">
        <v>21</v>
      </c>
      <c r="D509" s="3" t="s">
        <v>22</v>
      </c>
      <c r="E509" s="3" t="s">
        <v>1083</v>
      </c>
      <c r="F509" s="3" t="s">
        <v>147</v>
      </c>
      <c r="G509" s="3" t="s">
        <v>148</v>
      </c>
      <c r="H509" s="3" t="s">
        <v>30</v>
      </c>
      <c r="I509" s="3" t="s">
        <v>25</v>
      </c>
      <c r="J509" s="3" t="s">
        <v>30</v>
      </c>
      <c r="K509" s="3" t="s">
        <v>25</v>
      </c>
      <c r="L509" s="5">
        <v>700.0</v>
      </c>
      <c r="M509" s="5">
        <v>340.0</v>
      </c>
      <c r="N509" s="5">
        <v>300.0</v>
      </c>
      <c r="O509" s="5">
        <v>1340.0</v>
      </c>
      <c r="P509" s="6">
        <v>44671.0</v>
      </c>
      <c r="Q509" s="3" t="s">
        <v>28</v>
      </c>
      <c r="R509" s="3" t="s">
        <v>29</v>
      </c>
      <c r="S509" s="5">
        <v>106535.0</v>
      </c>
      <c r="T509" s="3"/>
      <c r="U509" s="3"/>
      <c r="V509" s="3"/>
      <c r="W509" s="3"/>
      <c r="X509" s="3"/>
    </row>
    <row r="510">
      <c r="A510" s="3" t="s">
        <v>1086</v>
      </c>
      <c r="B510" s="3" t="s">
        <v>1087</v>
      </c>
      <c r="C510" s="3" t="s">
        <v>21</v>
      </c>
      <c r="D510" s="3" t="s">
        <v>59</v>
      </c>
      <c r="E510" s="3" t="s">
        <v>1083</v>
      </c>
      <c r="F510" s="3" t="s">
        <v>28</v>
      </c>
      <c r="G510" s="3" t="s">
        <v>29</v>
      </c>
      <c r="H510" s="3" t="s">
        <v>30</v>
      </c>
      <c r="I510" s="3" t="s">
        <v>25</v>
      </c>
      <c r="J510" s="3" t="s">
        <v>30</v>
      </c>
      <c r="K510" s="3" t="s">
        <v>25</v>
      </c>
      <c r="L510" s="5">
        <v>575.0</v>
      </c>
      <c r="M510" s="5">
        <v>372.0</v>
      </c>
      <c r="N510" s="5">
        <v>365.0</v>
      </c>
      <c r="O510" s="5">
        <v>1312.0</v>
      </c>
      <c r="P510" s="6">
        <v>44670.0</v>
      </c>
      <c r="Q510" s="3" t="s">
        <v>28</v>
      </c>
      <c r="R510" s="3" t="s">
        <v>29</v>
      </c>
      <c r="S510" s="5">
        <v>910606.0</v>
      </c>
      <c r="T510" s="3"/>
      <c r="U510" s="3"/>
      <c r="V510" s="3"/>
      <c r="W510" s="3"/>
      <c r="X510" s="3"/>
    </row>
    <row r="511">
      <c r="A511" s="3" t="s">
        <v>1088</v>
      </c>
      <c r="B511" s="3" t="s">
        <v>1089</v>
      </c>
      <c r="C511" s="3" t="s">
        <v>21</v>
      </c>
      <c r="D511" s="3" t="s">
        <v>22</v>
      </c>
      <c r="E511" s="3" t="s">
        <v>1083</v>
      </c>
      <c r="F511" s="3" t="s">
        <v>147</v>
      </c>
      <c r="G511" s="3" t="s">
        <v>148</v>
      </c>
      <c r="H511" s="3" t="s">
        <v>30</v>
      </c>
      <c r="I511" s="3" t="s">
        <v>25</v>
      </c>
      <c r="J511" s="3" t="s">
        <v>30</v>
      </c>
      <c r="K511" s="3" t="s">
        <v>25</v>
      </c>
      <c r="L511" s="5">
        <v>600.0</v>
      </c>
      <c r="M511" s="5">
        <v>337.0</v>
      </c>
      <c r="N511" s="5">
        <v>345.0</v>
      </c>
      <c r="O511" s="5">
        <v>1282.0</v>
      </c>
      <c r="P511" s="6">
        <v>44667.0</v>
      </c>
      <c r="Q511" s="3" t="s">
        <v>28</v>
      </c>
      <c r="R511" s="3" t="s">
        <v>29</v>
      </c>
      <c r="S511" s="5">
        <v>1035443.0</v>
      </c>
      <c r="T511" s="3"/>
      <c r="U511" s="3"/>
      <c r="V511" s="3"/>
      <c r="W511" s="3"/>
      <c r="X511" s="3"/>
    </row>
    <row r="512">
      <c r="A512" s="3" t="s">
        <v>1090</v>
      </c>
      <c r="B512" s="3" t="s">
        <v>1091</v>
      </c>
      <c r="C512" s="3" t="s">
        <v>21</v>
      </c>
      <c r="D512" s="3" t="s">
        <v>22</v>
      </c>
      <c r="E512" s="3" t="s">
        <v>1083</v>
      </c>
      <c r="F512" s="3" t="s">
        <v>28</v>
      </c>
      <c r="G512" s="3" t="s">
        <v>29</v>
      </c>
      <c r="H512" s="3" t="s">
        <v>30</v>
      </c>
      <c r="I512" s="3" t="s">
        <v>25</v>
      </c>
      <c r="J512" s="3" t="s">
        <v>30</v>
      </c>
      <c r="K512" s="3" t="s">
        <v>25</v>
      </c>
      <c r="L512" s="5">
        <v>579.0</v>
      </c>
      <c r="M512" s="5">
        <v>374.0</v>
      </c>
      <c r="N512" s="5">
        <v>315.0</v>
      </c>
      <c r="O512" s="5">
        <v>1268.0</v>
      </c>
      <c r="P512" s="6">
        <v>44670.0</v>
      </c>
      <c r="Q512" s="3" t="s">
        <v>28</v>
      </c>
      <c r="R512" s="3" t="s">
        <v>29</v>
      </c>
      <c r="S512" s="5">
        <v>1045609.0</v>
      </c>
      <c r="T512" s="3"/>
      <c r="U512" s="3"/>
      <c r="V512" s="3"/>
      <c r="W512" s="3"/>
      <c r="X512" s="3"/>
    </row>
    <row r="513">
      <c r="A513" s="3" t="s">
        <v>1092</v>
      </c>
      <c r="B513" s="3" t="s">
        <v>1093</v>
      </c>
      <c r="C513" s="3" t="s">
        <v>21</v>
      </c>
      <c r="D513" s="3" t="s">
        <v>22</v>
      </c>
      <c r="E513" s="3" t="s">
        <v>1083</v>
      </c>
      <c r="F513" s="3" t="s">
        <v>28</v>
      </c>
      <c r="G513" s="3" t="s">
        <v>29</v>
      </c>
      <c r="H513" s="3" t="s">
        <v>30</v>
      </c>
      <c r="I513" s="3" t="s">
        <v>25</v>
      </c>
      <c r="J513" s="3" t="s">
        <v>30</v>
      </c>
      <c r="K513" s="3" t="s">
        <v>25</v>
      </c>
      <c r="L513" s="5">
        <v>535.0</v>
      </c>
      <c r="M513" s="5">
        <v>331.0</v>
      </c>
      <c r="N513" s="5">
        <v>335.0</v>
      </c>
      <c r="O513" s="5">
        <v>1201.0</v>
      </c>
      <c r="P513" s="6">
        <v>44723.0</v>
      </c>
      <c r="Q513" s="3" t="s">
        <v>28</v>
      </c>
      <c r="R513" s="3" t="s">
        <v>29</v>
      </c>
      <c r="S513" s="5">
        <v>765880.0</v>
      </c>
      <c r="T513" s="3"/>
      <c r="U513" s="3"/>
      <c r="V513" s="3"/>
      <c r="W513" s="3"/>
      <c r="X513" s="3"/>
    </row>
    <row r="514">
      <c r="A514" s="3" t="s">
        <v>1094</v>
      </c>
      <c r="B514" s="3" t="s">
        <v>1095</v>
      </c>
      <c r="C514" s="3" t="s">
        <v>21</v>
      </c>
      <c r="D514" s="3" t="s">
        <v>22</v>
      </c>
      <c r="E514" s="3" t="s">
        <v>1083</v>
      </c>
      <c r="F514" s="3" t="s">
        <v>28</v>
      </c>
      <c r="G514" s="3" t="s">
        <v>29</v>
      </c>
      <c r="H514" s="3" t="s">
        <v>30</v>
      </c>
      <c r="I514" s="3" t="s">
        <v>25</v>
      </c>
      <c r="J514" s="3" t="s">
        <v>30</v>
      </c>
      <c r="K514" s="3" t="s">
        <v>25</v>
      </c>
      <c r="L514" s="5">
        <v>540.0</v>
      </c>
      <c r="M514" s="5">
        <v>326.0</v>
      </c>
      <c r="N514" s="5">
        <v>325.0</v>
      </c>
      <c r="O514" s="5">
        <v>1191.0</v>
      </c>
      <c r="P514" s="6">
        <v>44670.0</v>
      </c>
      <c r="Q514" s="3" t="s">
        <v>31</v>
      </c>
      <c r="R514" s="3" t="s">
        <v>29</v>
      </c>
      <c r="S514" s="5">
        <v>899689.0</v>
      </c>
      <c r="T514" s="3"/>
      <c r="U514" s="3"/>
      <c r="V514" s="3"/>
      <c r="W514" s="3"/>
      <c r="X514" s="3"/>
    </row>
    <row r="515">
      <c r="A515" s="3" t="s">
        <v>1096</v>
      </c>
      <c r="B515" s="3" t="s">
        <v>1097</v>
      </c>
      <c r="C515" s="3" t="s">
        <v>21</v>
      </c>
      <c r="D515" s="3" t="s">
        <v>22</v>
      </c>
      <c r="E515" s="3" t="s">
        <v>1083</v>
      </c>
      <c r="F515" s="3" t="s">
        <v>28</v>
      </c>
      <c r="G515" s="3" t="s">
        <v>29</v>
      </c>
      <c r="H515" s="3" t="s">
        <v>30</v>
      </c>
      <c r="I515" s="3" t="s">
        <v>25</v>
      </c>
      <c r="J515" s="3" t="s">
        <v>30</v>
      </c>
      <c r="K515" s="3" t="s">
        <v>25</v>
      </c>
      <c r="L515" s="5">
        <v>532.0</v>
      </c>
      <c r="M515" s="5">
        <v>339.0</v>
      </c>
      <c r="N515" s="5">
        <v>305.0</v>
      </c>
      <c r="O515" s="5">
        <v>1176.0</v>
      </c>
      <c r="P515" s="6">
        <v>44667.0</v>
      </c>
      <c r="Q515" s="3" t="s">
        <v>31</v>
      </c>
      <c r="R515" s="3" t="s">
        <v>29</v>
      </c>
      <c r="S515" s="5">
        <v>1037540.0</v>
      </c>
      <c r="T515" s="3"/>
      <c r="U515" s="3"/>
      <c r="V515" s="3"/>
      <c r="W515" s="3"/>
      <c r="X515" s="3"/>
    </row>
    <row r="516">
      <c r="A516" s="3" t="s">
        <v>1098</v>
      </c>
      <c r="B516" s="3" t="s">
        <v>1099</v>
      </c>
      <c r="C516" s="3" t="s">
        <v>21</v>
      </c>
      <c r="D516" s="3" t="s">
        <v>22</v>
      </c>
      <c r="E516" s="3" t="s">
        <v>1083</v>
      </c>
      <c r="F516" s="3" t="s">
        <v>28</v>
      </c>
      <c r="G516" s="3" t="s">
        <v>29</v>
      </c>
      <c r="H516" s="3" t="s">
        <v>30</v>
      </c>
      <c r="I516" s="3" t="s">
        <v>25</v>
      </c>
      <c r="J516" s="3" t="s">
        <v>30</v>
      </c>
      <c r="K516" s="3" t="s">
        <v>25</v>
      </c>
      <c r="L516" s="5">
        <v>530.0</v>
      </c>
      <c r="M516" s="5">
        <v>333.0</v>
      </c>
      <c r="N516" s="5">
        <v>305.0</v>
      </c>
      <c r="O516" s="5">
        <v>1168.0</v>
      </c>
      <c r="P516" s="6">
        <v>44667.0</v>
      </c>
      <c r="Q516" s="3" t="s">
        <v>31</v>
      </c>
      <c r="R516" s="3" t="s">
        <v>29</v>
      </c>
      <c r="S516" s="5">
        <v>1053507.0</v>
      </c>
      <c r="T516" s="3"/>
      <c r="U516" s="3"/>
      <c r="V516" s="3"/>
      <c r="W516" s="3"/>
      <c r="X516" s="3"/>
    </row>
    <row r="517">
      <c r="A517" s="3" t="s">
        <v>1100</v>
      </c>
      <c r="B517" s="3" t="s">
        <v>1101</v>
      </c>
      <c r="C517" s="3" t="s">
        <v>21</v>
      </c>
      <c r="D517" s="3" t="s">
        <v>22</v>
      </c>
      <c r="E517" s="3" t="s">
        <v>1083</v>
      </c>
      <c r="F517" s="3" t="s">
        <v>28</v>
      </c>
      <c r="G517" s="3" t="s">
        <v>29</v>
      </c>
      <c r="H517" s="3" t="s">
        <v>30</v>
      </c>
      <c r="I517" s="3" t="s">
        <v>25</v>
      </c>
      <c r="J517" s="3" t="s">
        <v>30</v>
      </c>
      <c r="K517" s="3" t="s">
        <v>25</v>
      </c>
      <c r="L517" s="5">
        <v>540.0</v>
      </c>
      <c r="M517" s="5">
        <v>317.0</v>
      </c>
      <c r="N517" s="5">
        <v>300.0</v>
      </c>
      <c r="O517" s="5">
        <v>1157.0</v>
      </c>
      <c r="P517" s="6">
        <v>44668.0</v>
      </c>
      <c r="Q517" s="3" t="s">
        <v>31</v>
      </c>
      <c r="R517" s="3" t="s">
        <v>29</v>
      </c>
      <c r="S517" s="5">
        <v>1297996.0</v>
      </c>
      <c r="T517" s="3"/>
      <c r="U517" s="3"/>
      <c r="V517" s="3"/>
      <c r="W517" s="3"/>
      <c r="X517" s="3"/>
    </row>
    <row r="518">
      <c r="A518" s="3" t="s">
        <v>1102</v>
      </c>
      <c r="B518" s="3" t="s">
        <v>1103</v>
      </c>
      <c r="C518" s="3" t="s">
        <v>21</v>
      </c>
      <c r="D518" s="3" t="s">
        <v>22</v>
      </c>
      <c r="E518" s="3" t="s">
        <v>1083</v>
      </c>
      <c r="F518" s="3" t="s">
        <v>28</v>
      </c>
      <c r="G518" s="3" t="s">
        <v>29</v>
      </c>
      <c r="H518" s="3" t="s">
        <v>30</v>
      </c>
      <c r="I518" s="3" t="s">
        <v>25</v>
      </c>
      <c r="J518" s="3" t="s">
        <v>30</v>
      </c>
      <c r="K518" s="3" t="s">
        <v>25</v>
      </c>
      <c r="L518" s="5">
        <v>540.0</v>
      </c>
      <c r="M518" s="5">
        <v>313.0</v>
      </c>
      <c r="N518" s="5">
        <v>300.0</v>
      </c>
      <c r="O518" s="5">
        <v>1153.0</v>
      </c>
      <c r="P518" s="6">
        <v>44668.0</v>
      </c>
      <c r="Q518" s="3" t="s">
        <v>31</v>
      </c>
      <c r="R518" s="3" t="s">
        <v>29</v>
      </c>
      <c r="S518" s="5">
        <v>783280.0</v>
      </c>
      <c r="T518" s="3"/>
      <c r="U518" s="3"/>
      <c r="V518" s="3"/>
      <c r="W518" s="3"/>
      <c r="X518" s="3"/>
    </row>
    <row r="519">
      <c r="A519" s="3" t="s">
        <v>1104</v>
      </c>
      <c r="B519" s="3" t="s">
        <v>1105</v>
      </c>
      <c r="C519" s="3" t="s">
        <v>21</v>
      </c>
      <c r="D519" s="3" t="s">
        <v>59</v>
      </c>
      <c r="E519" s="3" t="s">
        <v>1083</v>
      </c>
      <c r="F519" s="3" t="s">
        <v>28</v>
      </c>
      <c r="G519" s="3" t="s">
        <v>29</v>
      </c>
      <c r="H519" s="3" t="s">
        <v>30</v>
      </c>
      <c r="I519" s="3" t="s">
        <v>25</v>
      </c>
      <c r="J519" s="3" t="s">
        <v>30</v>
      </c>
      <c r="K519" s="3" t="s">
        <v>25</v>
      </c>
      <c r="L519" s="5">
        <v>515.0</v>
      </c>
      <c r="M519" s="5">
        <v>323.0</v>
      </c>
      <c r="N519" s="5">
        <v>315.0</v>
      </c>
      <c r="O519" s="5">
        <v>1153.0</v>
      </c>
      <c r="P519" s="6">
        <v>44668.0</v>
      </c>
      <c r="Q519" s="3" t="s">
        <v>31</v>
      </c>
      <c r="R519" s="3" t="s">
        <v>29</v>
      </c>
      <c r="S519" s="5">
        <v>1101239.0</v>
      </c>
      <c r="T519" s="3"/>
      <c r="U519" s="3"/>
      <c r="V519" s="3"/>
      <c r="W519" s="3"/>
      <c r="X519" s="3"/>
    </row>
    <row r="520">
      <c r="A520" s="3" t="s">
        <v>1106</v>
      </c>
      <c r="B520" s="3" t="s">
        <v>1107</v>
      </c>
      <c r="C520" s="3" t="s">
        <v>21</v>
      </c>
      <c r="D520" s="3" t="s">
        <v>59</v>
      </c>
      <c r="E520" s="3" t="s">
        <v>1083</v>
      </c>
      <c r="F520" s="3" t="s">
        <v>28</v>
      </c>
      <c r="G520" s="3" t="s">
        <v>29</v>
      </c>
      <c r="H520" s="3" t="s">
        <v>30</v>
      </c>
      <c r="I520" s="3" t="s">
        <v>25</v>
      </c>
      <c r="J520" s="3" t="s">
        <v>30</v>
      </c>
      <c r="K520" s="3" t="s">
        <v>25</v>
      </c>
      <c r="L520" s="5">
        <v>510.0</v>
      </c>
      <c r="M520" s="5">
        <v>318.0</v>
      </c>
      <c r="N520" s="5">
        <v>318.0</v>
      </c>
      <c r="O520" s="5">
        <v>1146.0</v>
      </c>
      <c r="P520" s="6">
        <v>44668.0</v>
      </c>
      <c r="Q520" s="3" t="s">
        <v>31</v>
      </c>
      <c r="R520" s="3" t="s">
        <v>29</v>
      </c>
      <c r="S520" s="5">
        <v>1070750.0</v>
      </c>
      <c r="T520" s="3"/>
      <c r="U520" s="3"/>
      <c r="V520" s="3"/>
      <c r="W520" s="3"/>
      <c r="X520" s="3"/>
    </row>
    <row r="521">
      <c r="A521" s="3" t="s">
        <v>1108</v>
      </c>
      <c r="B521" s="3" t="s">
        <v>1109</v>
      </c>
      <c r="C521" s="3" t="s">
        <v>21</v>
      </c>
      <c r="D521" s="3" t="s">
        <v>22</v>
      </c>
      <c r="E521" s="3" t="s">
        <v>1083</v>
      </c>
      <c r="F521" s="3" t="s">
        <v>28</v>
      </c>
      <c r="G521" s="3" t="s">
        <v>29</v>
      </c>
      <c r="H521" s="3" t="s">
        <v>30</v>
      </c>
      <c r="I521" s="3" t="s">
        <v>25</v>
      </c>
      <c r="J521" s="3" t="s">
        <v>30</v>
      </c>
      <c r="K521" s="3" t="s">
        <v>25</v>
      </c>
      <c r="L521" s="5">
        <v>525.0</v>
      </c>
      <c r="M521" s="5">
        <v>302.0</v>
      </c>
      <c r="N521" s="5">
        <v>300.0</v>
      </c>
      <c r="O521" s="5">
        <v>1127.0</v>
      </c>
      <c r="P521" s="6">
        <v>44668.0</v>
      </c>
      <c r="Q521" s="3" t="s">
        <v>31</v>
      </c>
      <c r="R521" s="3" t="s">
        <v>29</v>
      </c>
      <c r="S521" s="5">
        <v>34903.0</v>
      </c>
      <c r="T521" s="3"/>
      <c r="U521" s="3"/>
      <c r="V521" s="3"/>
      <c r="W521" s="3"/>
      <c r="X521" s="3"/>
    </row>
    <row r="522">
      <c r="A522" s="3" t="s">
        <v>1110</v>
      </c>
      <c r="B522" s="3" t="s">
        <v>1111</v>
      </c>
      <c r="C522" s="3" t="s">
        <v>21</v>
      </c>
      <c r="D522" s="3" t="s">
        <v>22</v>
      </c>
      <c r="E522" s="3" t="s">
        <v>1083</v>
      </c>
      <c r="F522" s="3" t="s">
        <v>28</v>
      </c>
      <c r="G522" s="3" t="s">
        <v>29</v>
      </c>
      <c r="H522" s="3" t="s">
        <v>30</v>
      </c>
      <c r="I522" s="3" t="s">
        <v>25</v>
      </c>
      <c r="J522" s="3" t="s">
        <v>30</v>
      </c>
      <c r="K522" s="3" t="s">
        <v>25</v>
      </c>
      <c r="L522" s="5">
        <v>500.0</v>
      </c>
      <c r="M522" s="5">
        <v>300.0</v>
      </c>
      <c r="N522" s="5">
        <v>300.0</v>
      </c>
      <c r="O522" s="5">
        <v>1100.0</v>
      </c>
      <c r="P522" s="6">
        <v>44670.0</v>
      </c>
      <c r="Q522" s="3" t="s">
        <v>31</v>
      </c>
      <c r="R522" s="3" t="s">
        <v>29</v>
      </c>
      <c r="S522" s="5">
        <v>740260.0</v>
      </c>
      <c r="T522" s="3"/>
      <c r="U522" s="3"/>
      <c r="V522" s="3"/>
      <c r="W522" s="3"/>
      <c r="X522" s="3"/>
    </row>
    <row r="523">
      <c r="A523" s="3" t="s">
        <v>1112</v>
      </c>
      <c r="B523" s="3" t="s">
        <v>1113</v>
      </c>
      <c r="C523" s="3" t="s">
        <v>21</v>
      </c>
      <c r="D523" s="3" t="s">
        <v>22</v>
      </c>
      <c r="E523" s="3" t="s">
        <v>1083</v>
      </c>
      <c r="F523" s="3" t="s">
        <v>28</v>
      </c>
      <c r="G523" s="3" t="s">
        <v>29</v>
      </c>
      <c r="H523" s="3" t="s">
        <v>30</v>
      </c>
      <c r="I523" s="3" t="s">
        <v>25</v>
      </c>
      <c r="J523" s="3" t="s">
        <v>30</v>
      </c>
      <c r="K523" s="3" t="s">
        <v>25</v>
      </c>
      <c r="L523" s="5">
        <v>500.0</v>
      </c>
      <c r="M523" s="5">
        <v>300.0</v>
      </c>
      <c r="N523" s="5">
        <v>300.0</v>
      </c>
      <c r="O523" s="5">
        <v>1100.0</v>
      </c>
      <c r="P523" s="6">
        <v>44670.0</v>
      </c>
      <c r="Q523" s="3" t="s">
        <v>31</v>
      </c>
      <c r="R523" s="3" t="s">
        <v>29</v>
      </c>
      <c r="S523" s="5">
        <v>726728.0</v>
      </c>
      <c r="T523" s="3"/>
      <c r="U523" s="3"/>
      <c r="V523" s="3"/>
      <c r="W523" s="3"/>
      <c r="X523" s="3"/>
    </row>
    <row r="524">
      <c r="A524" s="3" t="s">
        <v>1114</v>
      </c>
      <c r="B524" s="3" t="s">
        <v>1115</v>
      </c>
      <c r="C524" s="3" t="s">
        <v>21</v>
      </c>
      <c r="D524" s="3" t="s">
        <v>22</v>
      </c>
      <c r="E524" s="3" t="s">
        <v>1083</v>
      </c>
      <c r="F524" s="3" t="s">
        <v>28</v>
      </c>
      <c r="G524" s="3" t="s">
        <v>29</v>
      </c>
      <c r="H524" s="3" t="s">
        <v>30</v>
      </c>
      <c r="I524" s="3" t="s">
        <v>25</v>
      </c>
      <c r="J524" s="3" t="s">
        <v>30</v>
      </c>
      <c r="K524" s="3" t="s">
        <v>25</v>
      </c>
      <c r="L524" s="5">
        <v>500.0</v>
      </c>
      <c r="M524" s="5">
        <v>300.0</v>
      </c>
      <c r="N524" s="5">
        <v>300.0</v>
      </c>
      <c r="O524" s="5">
        <v>1100.0</v>
      </c>
      <c r="P524" s="6">
        <v>44872.0</v>
      </c>
      <c r="Q524" s="3" t="s">
        <v>31</v>
      </c>
      <c r="R524" s="3" t="s">
        <v>29</v>
      </c>
      <c r="S524" s="5">
        <v>1498828.0</v>
      </c>
      <c r="T524" s="3"/>
      <c r="U524" s="3"/>
      <c r="V524" s="3"/>
      <c r="W524" s="3"/>
      <c r="X524" s="3"/>
    </row>
    <row r="525">
      <c r="A525" s="3" t="s">
        <v>1116</v>
      </c>
      <c r="B525" s="3" t="s">
        <v>1117</v>
      </c>
      <c r="C525" s="3" t="s">
        <v>21</v>
      </c>
      <c r="D525" s="3" t="s">
        <v>22</v>
      </c>
      <c r="E525" s="3" t="s">
        <v>1083</v>
      </c>
      <c r="F525" s="3" t="s">
        <v>28</v>
      </c>
      <c r="G525" s="3" t="s">
        <v>29</v>
      </c>
      <c r="H525" s="3" t="s">
        <v>30</v>
      </c>
      <c r="I525" s="3" t="s">
        <v>25</v>
      </c>
      <c r="J525" s="3" t="s">
        <v>24</v>
      </c>
      <c r="K525" s="3" t="s">
        <v>25</v>
      </c>
      <c r="L525" s="5">
        <v>500.0</v>
      </c>
      <c r="M525" s="5">
        <v>300.0</v>
      </c>
      <c r="N525" s="5">
        <v>298.0</v>
      </c>
      <c r="O525" s="5">
        <v>1098.0</v>
      </c>
      <c r="P525" s="6">
        <v>44667.0</v>
      </c>
      <c r="Q525" s="3" t="s">
        <v>31</v>
      </c>
      <c r="R525" s="3" t="s">
        <v>29</v>
      </c>
      <c r="S525" s="5">
        <v>915912.0</v>
      </c>
      <c r="T525" s="3"/>
      <c r="U525" s="3"/>
      <c r="V525" s="3"/>
      <c r="W525" s="3"/>
      <c r="X525" s="3"/>
    </row>
    <row r="526">
      <c r="A526" s="3" t="s">
        <v>1118</v>
      </c>
      <c r="B526" s="3" t="s">
        <v>1119</v>
      </c>
      <c r="C526" s="3" t="s">
        <v>21</v>
      </c>
      <c r="D526" s="3" t="s">
        <v>22</v>
      </c>
      <c r="E526" s="3" t="s">
        <v>1083</v>
      </c>
      <c r="F526" s="3" t="s">
        <v>28</v>
      </c>
      <c r="G526" s="3" t="s">
        <v>29</v>
      </c>
      <c r="H526" s="3" t="s">
        <v>24</v>
      </c>
      <c r="I526" s="3" t="s">
        <v>25</v>
      </c>
      <c r="J526" s="3" t="s">
        <v>24</v>
      </c>
      <c r="K526" s="3" t="s">
        <v>25</v>
      </c>
      <c r="L526" s="5">
        <v>572.0</v>
      </c>
      <c r="M526" s="5">
        <v>289.0</v>
      </c>
      <c r="N526" s="5">
        <v>225.0</v>
      </c>
      <c r="O526" s="5">
        <v>1086.0</v>
      </c>
      <c r="P526" s="6">
        <v>44668.0</v>
      </c>
      <c r="Q526" s="3" t="s">
        <v>31</v>
      </c>
      <c r="R526" s="3" t="s">
        <v>29</v>
      </c>
      <c r="S526" s="5">
        <v>1289490.0</v>
      </c>
      <c r="T526" s="3"/>
      <c r="U526" s="3"/>
      <c r="V526" s="3"/>
      <c r="W526" s="3"/>
      <c r="X526" s="3"/>
    </row>
    <row r="527">
      <c r="A527" s="3" t="s">
        <v>1120</v>
      </c>
      <c r="B527" s="3" t="s">
        <v>1121</v>
      </c>
      <c r="C527" s="3" t="s">
        <v>21</v>
      </c>
      <c r="D527" s="3" t="s">
        <v>22</v>
      </c>
      <c r="E527" s="3" t="s">
        <v>1083</v>
      </c>
      <c r="F527" s="3" t="s">
        <v>31</v>
      </c>
      <c r="G527" s="3" t="s">
        <v>29</v>
      </c>
      <c r="H527" s="3" t="s">
        <v>30</v>
      </c>
      <c r="I527" s="3" t="s">
        <v>25</v>
      </c>
      <c r="J527" s="3" t="s">
        <v>30</v>
      </c>
      <c r="K527" s="3" t="s">
        <v>25</v>
      </c>
      <c r="L527" s="5">
        <v>437.0</v>
      </c>
      <c r="M527" s="5">
        <v>326.0</v>
      </c>
      <c r="N527" s="5">
        <v>300.0</v>
      </c>
      <c r="O527" s="5">
        <v>1063.0</v>
      </c>
      <c r="P527" s="6">
        <v>44672.0</v>
      </c>
      <c r="Q527" s="3" t="s">
        <v>31</v>
      </c>
      <c r="R527" s="3" t="s">
        <v>29</v>
      </c>
      <c r="S527" s="5">
        <v>766704.0</v>
      </c>
      <c r="T527" s="3"/>
      <c r="U527" s="3"/>
      <c r="V527" s="3"/>
      <c r="W527" s="3"/>
      <c r="X527" s="3"/>
    </row>
    <row r="528">
      <c r="A528" s="3" t="s">
        <v>1122</v>
      </c>
      <c r="B528" s="3" t="s">
        <v>1123</v>
      </c>
      <c r="C528" s="3" t="s">
        <v>21</v>
      </c>
      <c r="D528" s="3" t="s">
        <v>22</v>
      </c>
      <c r="E528" s="3" t="s">
        <v>1083</v>
      </c>
      <c r="F528" s="3" t="s">
        <v>28</v>
      </c>
      <c r="G528" s="3" t="s">
        <v>29</v>
      </c>
      <c r="H528" s="3" t="s">
        <v>30</v>
      </c>
      <c r="I528" s="3" t="s">
        <v>25</v>
      </c>
      <c r="J528" s="3" t="s">
        <v>24</v>
      </c>
      <c r="K528" s="3" t="s">
        <v>25</v>
      </c>
      <c r="L528" s="5">
        <v>500.0</v>
      </c>
      <c r="M528" s="5">
        <v>300.0</v>
      </c>
      <c r="N528" s="5">
        <v>200.0</v>
      </c>
      <c r="O528" s="5">
        <v>1000.0</v>
      </c>
      <c r="P528" s="6">
        <v>44820.0</v>
      </c>
      <c r="Q528" s="3" t="s">
        <v>31</v>
      </c>
      <c r="R528" s="3" t="s">
        <v>29</v>
      </c>
      <c r="S528" s="5">
        <v>1051470.0</v>
      </c>
      <c r="T528" s="3"/>
      <c r="U528" s="3"/>
      <c r="V528" s="3"/>
      <c r="W528" s="3"/>
      <c r="X528" s="3"/>
    </row>
    <row r="529">
      <c r="A529" s="3" t="s">
        <v>1124</v>
      </c>
      <c r="B529" s="3" t="s">
        <v>1125</v>
      </c>
      <c r="C529" s="3" t="s">
        <v>21</v>
      </c>
      <c r="D529" s="3" t="s">
        <v>59</v>
      </c>
      <c r="E529" s="3" t="s">
        <v>1083</v>
      </c>
      <c r="F529" s="3" t="s">
        <v>28</v>
      </c>
      <c r="G529" s="3" t="s">
        <v>29</v>
      </c>
      <c r="H529" s="3" t="s">
        <v>24</v>
      </c>
      <c r="I529" s="3" t="s">
        <v>25</v>
      </c>
      <c r="J529" s="3" t="s">
        <v>24</v>
      </c>
      <c r="K529" s="3" t="s">
        <v>25</v>
      </c>
      <c r="L529" s="5">
        <v>520.0</v>
      </c>
      <c r="M529" s="5">
        <v>207.0</v>
      </c>
      <c r="N529" s="5">
        <v>210.0</v>
      </c>
      <c r="O529" s="5">
        <v>937.0</v>
      </c>
      <c r="P529" s="6">
        <v>44671.0</v>
      </c>
      <c r="Q529" s="3" t="s">
        <v>31</v>
      </c>
      <c r="R529" s="3" t="s">
        <v>29</v>
      </c>
      <c r="S529" s="5">
        <v>1750106.0</v>
      </c>
      <c r="T529" s="3"/>
      <c r="U529" s="3"/>
      <c r="V529" s="3"/>
      <c r="W529" s="3"/>
      <c r="X529" s="3"/>
    </row>
    <row r="530">
      <c r="A530" s="3" t="s">
        <v>1126</v>
      </c>
      <c r="B530" s="3" t="s">
        <v>1127</v>
      </c>
      <c r="C530" s="3" t="s">
        <v>21</v>
      </c>
      <c r="D530" s="3" t="s">
        <v>59</v>
      </c>
      <c r="E530" s="3" t="s">
        <v>1083</v>
      </c>
      <c r="F530" s="3" t="s">
        <v>30</v>
      </c>
      <c r="G530" s="3" t="s">
        <v>25</v>
      </c>
      <c r="H530" s="3" t="s">
        <v>24</v>
      </c>
      <c r="I530" s="3" t="s">
        <v>25</v>
      </c>
      <c r="J530" s="3" t="s">
        <v>30</v>
      </c>
      <c r="K530" s="3" t="s">
        <v>25</v>
      </c>
      <c r="L530" s="5">
        <v>382.0</v>
      </c>
      <c r="M530" s="5">
        <v>242.0</v>
      </c>
      <c r="N530" s="5">
        <v>305.0</v>
      </c>
      <c r="O530" s="5">
        <v>929.0</v>
      </c>
      <c r="P530" s="6">
        <v>44667.0</v>
      </c>
      <c r="Q530" s="3" t="s">
        <v>31</v>
      </c>
      <c r="R530" s="3" t="s">
        <v>29</v>
      </c>
      <c r="S530" s="5">
        <v>1423689.0</v>
      </c>
      <c r="T530" s="3"/>
      <c r="U530" s="3"/>
      <c r="V530" s="3"/>
      <c r="W530" s="3"/>
      <c r="X530" s="3"/>
    </row>
    <row r="531">
      <c r="A531" s="3" t="s">
        <v>1128</v>
      </c>
      <c r="B531" s="3" t="s">
        <v>1129</v>
      </c>
      <c r="C531" s="3" t="s">
        <v>21</v>
      </c>
      <c r="D531" s="3" t="s">
        <v>22</v>
      </c>
      <c r="E531" s="3" t="s">
        <v>1083</v>
      </c>
      <c r="F531" s="3" t="s">
        <v>30</v>
      </c>
      <c r="G531" s="3" t="s">
        <v>25</v>
      </c>
      <c r="H531" s="3" t="s">
        <v>30</v>
      </c>
      <c r="I531" s="3" t="s">
        <v>25</v>
      </c>
      <c r="J531" s="3" t="s">
        <v>24</v>
      </c>
      <c r="K531" s="3" t="s">
        <v>25</v>
      </c>
      <c r="L531" s="5">
        <v>377.0</v>
      </c>
      <c r="M531" s="5">
        <v>304.0</v>
      </c>
      <c r="N531" s="5">
        <v>210.0</v>
      </c>
      <c r="O531" s="5">
        <v>891.0</v>
      </c>
      <c r="P531" s="6">
        <v>44668.0</v>
      </c>
      <c r="Q531" s="3" t="s">
        <v>30</v>
      </c>
      <c r="R531" s="3" t="s">
        <v>25</v>
      </c>
      <c r="S531" s="5">
        <v>920522.0</v>
      </c>
      <c r="T531" s="3"/>
      <c r="U531" s="3"/>
      <c r="V531" s="3"/>
      <c r="W531" s="3"/>
      <c r="X531" s="3"/>
    </row>
    <row r="532">
      <c r="A532" s="3" t="s">
        <v>1130</v>
      </c>
      <c r="B532" s="3" t="s">
        <v>1131</v>
      </c>
      <c r="C532" s="3" t="s">
        <v>21</v>
      </c>
      <c r="D532" s="3" t="s">
        <v>22</v>
      </c>
      <c r="E532" s="3" t="s">
        <v>1083</v>
      </c>
      <c r="F532" s="3" t="s">
        <v>30</v>
      </c>
      <c r="G532" s="3" t="s">
        <v>25</v>
      </c>
      <c r="H532" s="3" t="s">
        <v>24</v>
      </c>
      <c r="I532" s="3" t="s">
        <v>25</v>
      </c>
      <c r="J532" s="3" t="s">
        <v>24</v>
      </c>
      <c r="K532" s="3" t="s">
        <v>25</v>
      </c>
      <c r="L532" s="5">
        <v>315.0</v>
      </c>
      <c r="M532" s="5">
        <v>261.0</v>
      </c>
      <c r="N532" s="5">
        <v>210.0</v>
      </c>
      <c r="O532" s="5">
        <v>786.0</v>
      </c>
      <c r="P532" s="6">
        <v>44669.0</v>
      </c>
      <c r="Q532" s="3" t="s">
        <v>30</v>
      </c>
      <c r="R532" s="3" t="s">
        <v>25</v>
      </c>
      <c r="S532" s="5">
        <v>912595.0</v>
      </c>
      <c r="T532" s="3"/>
      <c r="U532" s="3"/>
      <c r="V532" s="3"/>
      <c r="W532" s="3"/>
      <c r="X532" s="3"/>
    </row>
    <row r="533">
      <c r="A533" s="3" t="s">
        <v>1132</v>
      </c>
      <c r="B533" s="3" t="s">
        <v>1133</v>
      </c>
      <c r="C533" s="3" t="s">
        <v>21</v>
      </c>
      <c r="D533" s="3" t="s">
        <v>22</v>
      </c>
      <c r="E533" s="3" t="s">
        <v>1083</v>
      </c>
      <c r="F533" s="3" t="s">
        <v>24</v>
      </c>
      <c r="G533" s="3" t="s">
        <v>25</v>
      </c>
      <c r="H533" s="3" t="s">
        <v>24</v>
      </c>
      <c r="I533" s="3" t="s">
        <v>25</v>
      </c>
      <c r="J533" s="3" t="s">
        <v>30</v>
      </c>
      <c r="K533" s="3" t="s">
        <v>25</v>
      </c>
      <c r="L533" s="5">
        <v>230.0</v>
      </c>
      <c r="M533" s="5">
        <v>239.0</v>
      </c>
      <c r="N533" s="5">
        <v>300.0</v>
      </c>
      <c r="O533" s="5">
        <v>769.0</v>
      </c>
      <c r="P533" s="6">
        <v>44723.0</v>
      </c>
      <c r="Q533" s="3" t="s">
        <v>30</v>
      </c>
      <c r="R533" s="3" t="s">
        <v>25</v>
      </c>
      <c r="S533" s="5">
        <v>1630472.0</v>
      </c>
      <c r="T533" s="3"/>
      <c r="U533" s="3"/>
      <c r="V533" s="3"/>
      <c r="W533" s="3"/>
      <c r="X533" s="3"/>
    </row>
    <row r="534">
      <c r="A534" s="3" t="s">
        <v>1134</v>
      </c>
      <c r="B534" s="3" t="s">
        <v>1135</v>
      </c>
      <c r="C534" s="3" t="s">
        <v>21</v>
      </c>
      <c r="D534" s="3" t="s">
        <v>22</v>
      </c>
      <c r="E534" s="3" t="s">
        <v>1083</v>
      </c>
      <c r="F534" s="3" t="s">
        <v>24</v>
      </c>
      <c r="G534" s="3" t="s">
        <v>25</v>
      </c>
      <c r="H534" s="3" t="s">
        <v>24</v>
      </c>
      <c r="I534" s="3" t="s">
        <v>25</v>
      </c>
      <c r="J534" s="3" t="s">
        <v>24</v>
      </c>
      <c r="K534" s="3" t="s">
        <v>25</v>
      </c>
      <c r="L534" s="5">
        <v>260.0</v>
      </c>
      <c r="M534" s="5">
        <v>263.0</v>
      </c>
      <c r="N534" s="5">
        <v>236.0</v>
      </c>
      <c r="O534" s="5">
        <v>759.0</v>
      </c>
      <c r="P534" s="6">
        <v>44671.0</v>
      </c>
      <c r="Q534" s="3" t="s">
        <v>30</v>
      </c>
      <c r="R534" s="3" t="s">
        <v>25</v>
      </c>
      <c r="S534" s="5">
        <v>1616000.0</v>
      </c>
      <c r="T534" s="3"/>
      <c r="U534" s="3"/>
      <c r="V534" s="3"/>
      <c r="W534" s="3"/>
      <c r="X534" s="3"/>
    </row>
    <row r="535">
      <c r="A535" s="3" t="s">
        <v>1136</v>
      </c>
      <c r="B535" s="3" t="s">
        <v>1137</v>
      </c>
      <c r="C535" s="3" t="s">
        <v>21</v>
      </c>
      <c r="D535" s="3" t="s">
        <v>22</v>
      </c>
      <c r="E535" s="3" t="s">
        <v>1083</v>
      </c>
      <c r="F535" s="3" t="s">
        <v>24</v>
      </c>
      <c r="G535" s="3" t="s">
        <v>25</v>
      </c>
      <c r="H535" s="3" t="s">
        <v>24</v>
      </c>
      <c r="I535" s="3" t="s">
        <v>25</v>
      </c>
      <c r="J535" s="3" t="s">
        <v>30</v>
      </c>
      <c r="K535" s="3" t="s">
        <v>25</v>
      </c>
      <c r="L535" s="5">
        <v>205.0</v>
      </c>
      <c r="M535" s="5">
        <v>242.0</v>
      </c>
      <c r="N535" s="5">
        <v>300.0</v>
      </c>
      <c r="O535" s="5">
        <v>747.0</v>
      </c>
      <c r="P535" s="6">
        <v>44671.0</v>
      </c>
      <c r="Q535" s="3" t="s">
        <v>24</v>
      </c>
      <c r="R535" s="3" t="s">
        <v>25</v>
      </c>
      <c r="S535" s="5">
        <v>1398453.0</v>
      </c>
      <c r="T535" s="3"/>
      <c r="U535" s="3"/>
      <c r="V535" s="3"/>
      <c r="W535" s="3"/>
      <c r="X535" s="3"/>
    </row>
    <row r="536">
      <c r="A536" s="3" t="s">
        <v>1138</v>
      </c>
      <c r="B536" s="3" t="s">
        <v>1139</v>
      </c>
      <c r="C536" s="3" t="s">
        <v>21</v>
      </c>
      <c r="D536" s="3" t="s">
        <v>22</v>
      </c>
      <c r="E536" s="3" t="s">
        <v>1083</v>
      </c>
      <c r="F536" s="3" t="s">
        <v>24</v>
      </c>
      <c r="G536" s="3" t="s">
        <v>25</v>
      </c>
      <c r="H536" s="3" t="s">
        <v>30</v>
      </c>
      <c r="I536" s="3" t="s">
        <v>25</v>
      </c>
      <c r="J536" s="3" t="s">
        <v>24</v>
      </c>
      <c r="K536" s="3" t="s">
        <v>25</v>
      </c>
      <c r="L536" s="5">
        <v>225.0</v>
      </c>
      <c r="M536" s="5">
        <v>301.0</v>
      </c>
      <c r="N536" s="5">
        <v>215.0</v>
      </c>
      <c r="O536" s="5">
        <v>741.0</v>
      </c>
      <c r="P536" s="6">
        <v>44670.0</v>
      </c>
      <c r="Q536" s="3" t="s">
        <v>24</v>
      </c>
      <c r="R536" s="3" t="s">
        <v>25</v>
      </c>
      <c r="S536" s="5">
        <v>74208.0</v>
      </c>
      <c r="T536" s="3"/>
      <c r="U536" s="3"/>
      <c r="V536" s="3"/>
      <c r="W536" s="3"/>
      <c r="X536" s="3"/>
    </row>
    <row r="537">
      <c r="A537" s="3" t="s">
        <v>1140</v>
      </c>
      <c r="B537" s="3" t="s">
        <v>1141</v>
      </c>
      <c r="C537" s="3" t="s">
        <v>21</v>
      </c>
      <c r="D537" s="3" t="s">
        <v>59</v>
      </c>
      <c r="E537" s="3" t="s">
        <v>1083</v>
      </c>
      <c r="F537" s="3" t="s">
        <v>24</v>
      </c>
      <c r="G537" s="3" t="s">
        <v>25</v>
      </c>
      <c r="H537" s="3" t="s">
        <v>24</v>
      </c>
      <c r="I537" s="3" t="s">
        <v>25</v>
      </c>
      <c r="J537" s="3" t="s">
        <v>24</v>
      </c>
      <c r="K537" s="3" t="s">
        <v>25</v>
      </c>
      <c r="L537" s="5">
        <v>250.0</v>
      </c>
      <c r="M537" s="5">
        <v>251.0</v>
      </c>
      <c r="N537" s="5">
        <v>215.0</v>
      </c>
      <c r="O537" s="5">
        <v>716.0</v>
      </c>
      <c r="P537" s="6">
        <v>44670.0</v>
      </c>
      <c r="Q537" s="3" t="s">
        <v>24</v>
      </c>
      <c r="R537" s="3" t="s">
        <v>25</v>
      </c>
      <c r="S537" s="5">
        <v>1034054.0</v>
      </c>
      <c r="T537" s="3"/>
      <c r="U537" s="3"/>
      <c r="V537" s="3"/>
      <c r="W537" s="3"/>
      <c r="X537" s="3"/>
    </row>
    <row r="538">
      <c r="A538" s="3" t="s">
        <v>1142</v>
      </c>
      <c r="B538" s="3" t="s">
        <v>1143</v>
      </c>
      <c r="C538" s="3" t="s">
        <v>21</v>
      </c>
      <c r="D538" s="3" t="s">
        <v>59</v>
      </c>
      <c r="E538" s="3" t="s">
        <v>1083</v>
      </c>
      <c r="F538" s="3" t="s">
        <v>24</v>
      </c>
      <c r="G538" s="3" t="s">
        <v>25</v>
      </c>
      <c r="H538" s="3" t="s">
        <v>24</v>
      </c>
      <c r="I538" s="3" t="s">
        <v>25</v>
      </c>
      <c r="J538" s="3" t="s">
        <v>24</v>
      </c>
      <c r="K538" s="3" t="s">
        <v>25</v>
      </c>
      <c r="L538" s="5">
        <v>240.0</v>
      </c>
      <c r="M538" s="5">
        <v>206.0</v>
      </c>
      <c r="N538" s="5">
        <v>240.0</v>
      </c>
      <c r="O538" s="5">
        <v>686.0</v>
      </c>
      <c r="P538" s="6">
        <v>44668.0</v>
      </c>
      <c r="Q538" s="3" t="s">
        <v>24</v>
      </c>
      <c r="R538" s="3" t="s">
        <v>25</v>
      </c>
      <c r="S538" s="5">
        <v>1589061.0</v>
      </c>
      <c r="T538" s="3"/>
      <c r="U538" s="3"/>
      <c r="V538" s="3"/>
      <c r="W538" s="3"/>
      <c r="X538" s="3"/>
    </row>
    <row r="539">
      <c r="A539" s="3" t="s">
        <v>1144</v>
      </c>
      <c r="B539" s="3" t="s">
        <v>1145</v>
      </c>
      <c r="C539" s="3" t="s">
        <v>21</v>
      </c>
      <c r="D539" s="3" t="s">
        <v>59</v>
      </c>
      <c r="E539" s="3" t="s">
        <v>1083</v>
      </c>
      <c r="F539" s="3" t="s">
        <v>24</v>
      </c>
      <c r="G539" s="3" t="s">
        <v>25</v>
      </c>
      <c r="H539" s="3" t="s">
        <v>24</v>
      </c>
      <c r="I539" s="3" t="s">
        <v>25</v>
      </c>
      <c r="J539" s="3" t="s">
        <v>24</v>
      </c>
      <c r="K539" s="3" t="s">
        <v>25</v>
      </c>
      <c r="L539" s="5">
        <v>255.0</v>
      </c>
      <c r="M539" s="5">
        <v>204.0</v>
      </c>
      <c r="N539" s="5">
        <v>226.0</v>
      </c>
      <c r="O539" s="5">
        <v>685.0</v>
      </c>
      <c r="P539" s="6">
        <v>44722.0</v>
      </c>
      <c r="Q539" s="3" t="s">
        <v>24</v>
      </c>
      <c r="R539" s="3" t="s">
        <v>25</v>
      </c>
      <c r="S539" s="5">
        <v>1822523.0</v>
      </c>
      <c r="T539" s="3"/>
      <c r="U539" s="3"/>
      <c r="V539" s="3"/>
      <c r="W539" s="3"/>
      <c r="X539" s="3"/>
    </row>
    <row r="540">
      <c r="A540" s="3" t="s">
        <v>1146</v>
      </c>
      <c r="B540" s="3" t="s">
        <v>1147</v>
      </c>
      <c r="C540" s="3" t="s">
        <v>21</v>
      </c>
      <c r="D540" s="3" t="s">
        <v>22</v>
      </c>
      <c r="E540" s="3" t="s">
        <v>1083</v>
      </c>
      <c r="F540" s="3" t="s">
        <v>24</v>
      </c>
      <c r="G540" s="3" t="s">
        <v>25</v>
      </c>
      <c r="H540" s="3" t="s">
        <v>24</v>
      </c>
      <c r="I540" s="3" t="s">
        <v>25</v>
      </c>
      <c r="J540" s="3" t="s">
        <v>24</v>
      </c>
      <c r="K540" s="3" t="s">
        <v>25</v>
      </c>
      <c r="L540" s="5">
        <v>235.0</v>
      </c>
      <c r="M540" s="5">
        <v>245.0</v>
      </c>
      <c r="N540" s="5">
        <v>205.0</v>
      </c>
      <c r="O540" s="5">
        <v>685.0</v>
      </c>
      <c r="P540" s="6">
        <v>44670.0</v>
      </c>
      <c r="Q540" s="3" t="s">
        <v>24</v>
      </c>
      <c r="R540" s="3" t="s">
        <v>25</v>
      </c>
      <c r="S540" s="5">
        <v>1393311.0</v>
      </c>
      <c r="T540" s="3"/>
      <c r="U540" s="3"/>
      <c r="V540" s="3"/>
      <c r="W540" s="3"/>
      <c r="X540" s="3"/>
    </row>
    <row r="541">
      <c r="A541" s="3" t="s">
        <v>1148</v>
      </c>
      <c r="B541" s="3" t="s">
        <v>1149</v>
      </c>
      <c r="C541" s="3" t="s">
        <v>21</v>
      </c>
      <c r="D541" s="3" t="s">
        <v>22</v>
      </c>
      <c r="E541" s="3" t="s">
        <v>1083</v>
      </c>
      <c r="F541" s="3" t="s">
        <v>24</v>
      </c>
      <c r="G541" s="3" t="s">
        <v>25</v>
      </c>
      <c r="H541" s="3" t="s">
        <v>24</v>
      </c>
      <c r="I541" s="3" t="s">
        <v>25</v>
      </c>
      <c r="J541" s="3" t="s">
        <v>24</v>
      </c>
      <c r="K541" s="3" t="s">
        <v>25</v>
      </c>
      <c r="L541" s="5">
        <v>225.0</v>
      </c>
      <c r="M541" s="5">
        <v>247.0</v>
      </c>
      <c r="N541" s="5">
        <v>205.0</v>
      </c>
      <c r="O541" s="5">
        <v>677.0</v>
      </c>
      <c r="P541" s="6">
        <v>44670.0</v>
      </c>
      <c r="Q541" s="3" t="s">
        <v>24</v>
      </c>
      <c r="R541" s="3" t="s">
        <v>25</v>
      </c>
      <c r="S541" s="5">
        <v>1063761.0</v>
      </c>
      <c r="T541" s="3"/>
      <c r="U541" s="3"/>
      <c r="V541" s="3"/>
      <c r="W541" s="3"/>
      <c r="X541" s="3"/>
    </row>
    <row r="542">
      <c r="A542" s="3" t="s">
        <v>1150</v>
      </c>
      <c r="B542" s="3" t="s">
        <v>1151</v>
      </c>
      <c r="C542" s="3" t="s">
        <v>21</v>
      </c>
      <c r="D542" s="3" t="s">
        <v>22</v>
      </c>
      <c r="E542" s="3" t="s">
        <v>1083</v>
      </c>
      <c r="F542" s="3" t="s">
        <v>24</v>
      </c>
      <c r="G542" s="3" t="s">
        <v>25</v>
      </c>
      <c r="H542" s="3" t="s">
        <v>24</v>
      </c>
      <c r="I542" s="3" t="s">
        <v>25</v>
      </c>
      <c r="J542" s="3" t="s">
        <v>24</v>
      </c>
      <c r="K542" s="3" t="s">
        <v>25</v>
      </c>
      <c r="L542" s="5">
        <v>235.0</v>
      </c>
      <c r="M542" s="5">
        <v>208.0</v>
      </c>
      <c r="N542" s="5">
        <v>210.0</v>
      </c>
      <c r="O542" s="5">
        <v>653.0</v>
      </c>
      <c r="P542" s="6">
        <v>44668.0</v>
      </c>
      <c r="Q542" s="3" t="s">
        <v>24</v>
      </c>
      <c r="R542" s="3" t="s">
        <v>25</v>
      </c>
      <c r="S542" s="5">
        <v>906107.0</v>
      </c>
      <c r="T542" s="3"/>
      <c r="U542" s="3"/>
      <c r="V542" s="3"/>
      <c r="W542" s="3"/>
      <c r="X542" s="3"/>
    </row>
    <row r="543">
      <c r="A543" s="3" t="s">
        <v>1152</v>
      </c>
      <c r="B543" s="3" t="s">
        <v>1153</v>
      </c>
      <c r="C543" s="3" t="s">
        <v>21</v>
      </c>
      <c r="D543" s="3" t="s">
        <v>22</v>
      </c>
      <c r="E543" s="3" t="s">
        <v>1083</v>
      </c>
      <c r="F543" s="3" t="s">
        <v>24</v>
      </c>
      <c r="G543" s="3" t="s">
        <v>25</v>
      </c>
      <c r="H543" s="3" t="s">
        <v>24</v>
      </c>
      <c r="I543" s="3" t="s">
        <v>25</v>
      </c>
      <c r="J543" s="3" t="s">
        <v>24</v>
      </c>
      <c r="K543" s="3" t="s">
        <v>25</v>
      </c>
      <c r="L543" s="5">
        <v>200.0</v>
      </c>
      <c r="M543" s="5">
        <v>209.0</v>
      </c>
      <c r="N543" s="5">
        <v>200.0</v>
      </c>
      <c r="O543" s="5">
        <v>609.0</v>
      </c>
      <c r="P543" s="6">
        <v>44722.0</v>
      </c>
      <c r="Q543" s="3" t="s">
        <v>24</v>
      </c>
      <c r="R543" s="3" t="s">
        <v>25</v>
      </c>
      <c r="S543" s="5">
        <v>1138118.0</v>
      </c>
      <c r="T543" s="3"/>
      <c r="U543" s="3"/>
      <c r="V543" s="3"/>
      <c r="W543" s="3"/>
      <c r="X543" s="3"/>
    </row>
    <row r="544">
      <c r="A544" s="3" t="s">
        <v>1154</v>
      </c>
      <c r="B544" s="3" t="s">
        <v>1155</v>
      </c>
      <c r="C544" s="3" t="s">
        <v>21</v>
      </c>
      <c r="D544" s="3" t="s">
        <v>59</v>
      </c>
      <c r="E544" s="3" t="s">
        <v>1156</v>
      </c>
      <c r="F544" s="3" t="s">
        <v>147</v>
      </c>
      <c r="G544" s="3" t="s">
        <v>148</v>
      </c>
      <c r="H544" s="3" t="s">
        <v>30</v>
      </c>
      <c r="I544" s="3" t="s">
        <v>25</v>
      </c>
      <c r="J544" s="3" t="s">
        <v>31</v>
      </c>
      <c r="K544" s="3" t="s">
        <v>29</v>
      </c>
      <c r="L544" s="5">
        <v>668.0</v>
      </c>
      <c r="M544" s="5">
        <v>305.0</v>
      </c>
      <c r="N544" s="5">
        <v>460.0</v>
      </c>
      <c r="O544" s="5">
        <v>1433.0</v>
      </c>
      <c r="P544" s="6">
        <v>44667.0</v>
      </c>
      <c r="Q544" s="3" t="s">
        <v>28</v>
      </c>
      <c r="R544" s="3" t="s">
        <v>29</v>
      </c>
      <c r="S544" s="5">
        <v>1018724.0</v>
      </c>
      <c r="T544" s="3"/>
      <c r="U544" s="3"/>
      <c r="V544" s="3"/>
      <c r="W544" s="3"/>
      <c r="X544" s="3"/>
    </row>
    <row r="545">
      <c r="A545" s="3" t="s">
        <v>1157</v>
      </c>
      <c r="B545" s="3" t="s">
        <v>1158</v>
      </c>
      <c r="C545" s="3" t="s">
        <v>21</v>
      </c>
      <c r="D545" s="3" t="s">
        <v>22</v>
      </c>
      <c r="E545" s="3" t="s">
        <v>1156</v>
      </c>
      <c r="F545" s="3" t="s">
        <v>28</v>
      </c>
      <c r="G545" s="3" t="s">
        <v>29</v>
      </c>
      <c r="H545" s="3" t="s">
        <v>30</v>
      </c>
      <c r="I545" s="3" t="s">
        <v>25</v>
      </c>
      <c r="J545" s="3" t="s">
        <v>30</v>
      </c>
      <c r="K545" s="3" t="s">
        <v>25</v>
      </c>
      <c r="L545" s="5">
        <v>550.0</v>
      </c>
      <c r="M545" s="5">
        <v>342.0</v>
      </c>
      <c r="N545" s="5">
        <v>313.0</v>
      </c>
      <c r="O545" s="5">
        <v>1205.0</v>
      </c>
      <c r="P545" s="6">
        <v>44670.0</v>
      </c>
      <c r="Q545" s="3" t="s">
        <v>28</v>
      </c>
      <c r="R545" s="3" t="s">
        <v>29</v>
      </c>
      <c r="S545" s="5">
        <v>27419.0</v>
      </c>
      <c r="T545" s="3"/>
      <c r="U545" s="3"/>
      <c r="V545" s="3"/>
      <c r="W545" s="3"/>
      <c r="X545" s="3"/>
    </row>
    <row r="546">
      <c r="A546" s="3" t="s">
        <v>1159</v>
      </c>
      <c r="B546" s="3" t="s">
        <v>1160</v>
      </c>
      <c r="C546" s="3" t="s">
        <v>21</v>
      </c>
      <c r="D546" s="3" t="s">
        <v>22</v>
      </c>
      <c r="E546" s="3" t="s">
        <v>1156</v>
      </c>
      <c r="F546" s="3" t="s">
        <v>28</v>
      </c>
      <c r="G546" s="3" t="s">
        <v>29</v>
      </c>
      <c r="H546" s="3" t="s">
        <v>30</v>
      </c>
      <c r="I546" s="3" t="s">
        <v>25</v>
      </c>
      <c r="J546" s="3" t="s">
        <v>30</v>
      </c>
      <c r="K546" s="3" t="s">
        <v>25</v>
      </c>
      <c r="L546" s="5">
        <v>515.0</v>
      </c>
      <c r="M546" s="5">
        <v>349.0</v>
      </c>
      <c r="N546" s="5">
        <v>300.0</v>
      </c>
      <c r="O546" s="5">
        <v>1164.0</v>
      </c>
      <c r="P546" s="6">
        <v>44668.0</v>
      </c>
      <c r="Q546" s="3" t="s">
        <v>31</v>
      </c>
      <c r="R546" s="3" t="s">
        <v>29</v>
      </c>
      <c r="S546" s="5">
        <v>39911.0</v>
      </c>
      <c r="T546" s="3"/>
      <c r="U546" s="3"/>
      <c r="V546" s="3"/>
      <c r="W546" s="3"/>
      <c r="X546" s="3"/>
    </row>
    <row r="547">
      <c r="A547" s="3" t="s">
        <v>1161</v>
      </c>
      <c r="B547" s="3" t="s">
        <v>1162</v>
      </c>
      <c r="C547" s="3" t="s">
        <v>21</v>
      </c>
      <c r="D547" s="3" t="s">
        <v>22</v>
      </c>
      <c r="E547" s="3" t="s">
        <v>1156</v>
      </c>
      <c r="F547" s="3" t="s">
        <v>28</v>
      </c>
      <c r="G547" s="3" t="s">
        <v>29</v>
      </c>
      <c r="H547" s="3" t="s">
        <v>30</v>
      </c>
      <c r="I547" s="3" t="s">
        <v>25</v>
      </c>
      <c r="J547" s="3" t="s">
        <v>30</v>
      </c>
      <c r="K547" s="3" t="s">
        <v>25</v>
      </c>
      <c r="L547" s="5">
        <v>555.0</v>
      </c>
      <c r="M547" s="5">
        <v>301.0</v>
      </c>
      <c r="N547" s="5">
        <v>305.0</v>
      </c>
      <c r="O547" s="5">
        <v>1161.0</v>
      </c>
      <c r="P547" s="6">
        <v>44670.0</v>
      </c>
      <c r="Q547" s="3" t="s">
        <v>31</v>
      </c>
      <c r="R547" s="3" t="s">
        <v>29</v>
      </c>
      <c r="S547" s="5">
        <v>96021.0</v>
      </c>
      <c r="T547" s="3"/>
      <c r="U547" s="3"/>
      <c r="V547" s="3"/>
      <c r="W547" s="3"/>
      <c r="X547" s="3"/>
    </row>
    <row r="548">
      <c r="A548" s="3" t="s">
        <v>1163</v>
      </c>
      <c r="B548" s="3" t="s">
        <v>1164</v>
      </c>
      <c r="C548" s="3" t="s">
        <v>21</v>
      </c>
      <c r="D548" s="3" t="s">
        <v>59</v>
      </c>
      <c r="E548" s="3" t="s">
        <v>1156</v>
      </c>
      <c r="F548" s="3" t="s">
        <v>28</v>
      </c>
      <c r="G548" s="3" t="s">
        <v>29</v>
      </c>
      <c r="H548" s="3" t="s">
        <v>30</v>
      </c>
      <c r="I548" s="3" t="s">
        <v>25</v>
      </c>
      <c r="J548" s="3" t="s">
        <v>30</v>
      </c>
      <c r="K548" s="3" t="s">
        <v>25</v>
      </c>
      <c r="L548" s="5">
        <v>515.0</v>
      </c>
      <c r="M548" s="5">
        <v>325.0</v>
      </c>
      <c r="N548" s="5">
        <v>300.0</v>
      </c>
      <c r="O548" s="5">
        <v>1140.0</v>
      </c>
      <c r="P548" s="6">
        <v>44670.0</v>
      </c>
      <c r="Q548" s="3" t="s">
        <v>31</v>
      </c>
      <c r="R548" s="3" t="s">
        <v>29</v>
      </c>
      <c r="S548" s="5">
        <v>1618921.0</v>
      </c>
      <c r="T548" s="3"/>
      <c r="U548" s="3"/>
      <c r="V548" s="3"/>
      <c r="W548" s="3"/>
      <c r="X548" s="3"/>
    </row>
    <row r="549">
      <c r="A549" s="3" t="s">
        <v>1165</v>
      </c>
      <c r="B549" s="3" t="s">
        <v>1166</v>
      </c>
      <c r="C549" s="3" t="s">
        <v>21</v>
      </c>
      <c r="D549" s="3" t="s">
        <v>22</v>
      </c>
      <c r="E549" s="3" t="s">
        <v>1156</v>
      </c>
      <c r="F549" s="3" t="s">
        <v>28</v>
      </c>
      <c r="G549" s="3" t="s">
        <v>29</v>
      </c>
      <c r="H549" s="3" t="s">
        <v>30</v>
      </c>
      <c r="I549" s="3" t="s">
        <v>25</v>
      </c>
      <c r="J549" s="3" t="s">
        <v>30</v>
      </c>
      <c r="K549" s="3" t="s">
        <v>25</v>
      </c>
      <c r="L549" s="5">
        <v>525.0</v>
      </c>
      <c r="M549" s="5">
        <v>303.0</v>
      </c>
      <c r="N549" s="5">
        <v>300.0</v>
      </c>
      <c r="O549" s="5">
        <v>1128.0</v>
      </c>
      <c r="P549" s="6">
        <v>44723.0</v>
      </c>
      <c r="Q549" s="3" t="s">
        <v>31</v>
      </c>
      <c r="R549" s="3" t="s">
        <v>29</v>
      </c>
      <c r="S549" s="5">
        <v>701985.0</v>
      </c>
      <c r="T549" s="3"/>
      <c r="U549" s="3"/>
      <c r="V549" s="3"/>
      <c r="W549" s="3"/>
      <c r="X549" s="3"/>
    </row>
    <row r="550">
      <c r="A550" s="3" t="s">
        <v>1167</v>
      </c>
      <c r="B550" s="3" t="s">
        <v>1168</v>
      </c>
      <c r="C550" s="3" t="s">
        <v>21</v>
      </c>
      <c r="D550" s="3" t="s">
        <v>59</v>
      </c>
      <c r="E550" s="3" t="s">
        <v>1156</v>
      </c>
      <c r="F550" s="3" t="s">
        <v>28</v>
      </c>
      <c r="G550" s="3" t="s">
        <v>29</v>
      </c>
      <c r="H550" s="3" t="s">
        <v>30</v>
      </c>
      <c r="I550" s="3" t="s">
        <v>25</v>
      </c>
      <c r="J550" s="3" t="s">
        <v>30</v>
      </c>
      <c r="K550" s="3" t="s">
        <v>25</v>
      </c>
      <c r="L550" s="5">
        <v>500.0</v>
      </c>
      <c r="M550" s="5">
        <v>302.0</v>
      </c>
      <c r="N550" s="5">
        <v>305.0</v>
      </c>
      <c r="O550" s="5">
        <v>1107.0</v>
      </c>
      <c r="P550" s="6">
        <v>44668.0</v>
      </c>
      <c r="Q550" s="3" t="s">
        <v>31</v>
      </c>
      <c r="R550" s="3" t="s">
        <v>29</v>
      </c>
      <c r="S550" s="5">
        <v>1065088.0</v>
      </c>
      <c r="T550" s="3"/>
      <c r="U550" s="3"/>
      <c r="V550" s="3"/>
      <c r="W550" s="3"/>
      <c r="X550" s="3"/>
    </row>
    <row r="551">
      <c r="A551" s="3" t="s">
        <v>1169</v>
      </c>
      <c r="B551" s="3" t="s">
        <v>1170</v>
      </c>
      <c r="C551" s="3" t="s">
        <v>21</v>
      </c>
      <c r="D551" s="3" t="s">
        <v>59</v>
      </c>
      <c r="E551" s="3" t="s">
        <v>1156</v>
      </c>
      <c r="F551" s="3" t="s">
        <v>28</v>
      </c>
      <c r="G551" s="3" t="s">
        <v>29</v>
      </c>
      <c r="H551" s="3" t="s">
        <v>30</v>
      </c>
      <c r="I551" s="3" t="s">
        <v>25</v>
      </c>
      <c r="J551" s="3" t="s">
        <v>30</v>
      </c>
      <c r="K551" s="3" t="s">
        <v>25</v>
      </c>
      <c r="L551" s="5">
        <v>500.0</v>
      </c>
      <c r="M551" s="5">
        <v>300.0</v>
      </c>
      <c r="N551" s="5">
        <v>300.0</v>
      </c>
      <c r="O551" s="5">
        <v>1100.0</v>
      </c>
      <c r="P551" s="6">
        <v>44669.0</v>
      </c>
      <c r="Q551" s="3" t="s">
        <v>31</v>
      </c>
      <c r="R551" s="3" t="s">
        <v>29</v>
      </c>
      <c r="S551" s="5">
        <v>898173.0</v>
      </c>
      <c r="T551" s="3"/>
      <c r="U551" s="3"/>
      <c r="V551" s="3"/>
      <c r="W551" s="3"/>
      <c r="X551" s="3"/>
    </row>
    <row r="552">
      <c r="A552" s="3" t="s">
        <v>1171</v>
      </c>
      <c r="B552" s="3" t="s">
        <v>1172</v>
      </c>
      <c r="C552" s="3" t="s">
        <v>21</v>
      </c>
      <c r="D552" s="3" t="s">
        <v>22</v>
      </c>
      <c r="E552" s="3" t="s">
        <v>1156</v>
      </c>
      <c r="F552" s="3" t="s">
        <v>28</v>
      </c>
      <c r="G552" s="3" t="s">
        <v>29</v>
      </c>
      <c r="H552" s="3" t="s">
        <v>30</v>
      </c>
      <c r="I552" s="3" t="s">
        <v>25</v>
      </c>
      <c r="J552" s="3" t="s">
        <v>30</v>
      </c>
      <c r="K552" s="3" t="s">
        <v>25</v>
      </c>
      <c r="L552" s="5">
        <v>500.0</v>
      </c>
      <c r="M552" s="5">
        <v>300.0</v>
      </c>
      <c r="N552" s="5">
        <v>300.0</v>
      </c>
      <c r="O552" s="5">
        <v>1100.0</v>
      </c>
      <c r="P552" s="6">
        <v>44670.0</v>
      </c>
      <c r="Q552" s="3" t="s">
        <v>31</v>
      </c>
      <c r="R552" s="3" t="s">
        <v>29</v>
      </c>
      <c r="S552" s="5">
        <v>109198.0</v>
      </c>
      <c r="T552" s="3"/>
      <c r="U552" s="3"/>
      <c r="V552" s="3"/>
      <c r="W552" s="3"/>
      <c r="X552" s="3"/>
    </row>
    <row r="553">
      <c r="A553" s="3" t="s">
        <v>1173</v>
      </c>
      <c r="B553" s="3" t="s">
        <v>1174</v>
      </c>
      <c r="C553" s="3" t="s">
        <v>21</v>
      </c>
      <c r="D553" s="3" t="s">
        <v>59</v>
      </c>
      <c r="E553" s="3" t="s">
        <v>1156</v>
      </c>
      <c r="F553" s="3" t="s">
        <v>28</v>
      </c>
      <c r="G553" s="3" t="s">
        <v>29</v>
      </c>
      <c r="H553" s="3" t="s">
        <v>30</v>
      </c>
      <c r="I553" s="3" t="s">
        <v>25</v>
      </c>
      <c r="J553" s="3" t="s">
        <v>24</v>
      </c>
      <c r="K553" s="3" t="s">
        <v>25</v>
      </c>
      <c r="L553" s="5">
        <v>537.0</v>
      </c>
      <c r="M553" s="5">
        <v>306.0</v>
      </c>
      <c r="N553" s="5">
        <v>225.0</v>
      </c>
      <c r="O553" s="5">
        <v>1068.0</v>
      </c>
      <c r="P553" s="6">
        <v>44667.0</v>
      </c>
      <c r="Q553" s="3" t="s">
        <v>31</v>
      </c>
      <c r="R553" s="3" t="s">
        <v>29</v>
      </c>
      <c r="S553" s="5">
        <v>909832.0</v>
      </c>
      <c r="T553" s="3"/>
      <c r="U553" s="3"/>
      <c r="V553" s="3"/>
      <c r="W553" s="3"/>
      <c r="X553" s="3"/>
    </row>
    <row r="554">
      <c r="A554" s="3" t="s">
        <v>1175</v>
      </c>
      <c r="B554" s="3" t="s">
        <v>1176</v>
      </c>
      <c r="C554" s="3" t="s">
        <v>21</v>
      </c>
      <c r="D554" s="3" t="s">
        <v>59</v>
      </c>
      <c r="E554" s="3" t="s">
        <v>1156</v>
      </c>
      <c r="F554" s="3" t="s">
        <v>30</v>
      </c>
      <c r="G554" s="3" t="s">
        <v>25</v>
      </c>
      <c r="H554" s="3" t="s">
        <v>30</v>
      </c>
      <c r="I554" s="3" t="s">
        <v>25</v>
      </c>
      <c r="J554" s="3" t="s">
        <v>30</v>
      </c>
      <c r="K554" s="3" t="s">
        <v>25</v>
      </c>
      <c r="L554" s="5">
        <v>375.0</v>
      </c>
      <c r="M554" s="5">
        <v>325.0</v>
      </c>
      <c r="N554" s="5">
        <v>300.0</v>
      </c>
      <c r="O554" s="5">
        <v>1000.0</v>
      </c>
      <c r="P554" s="6">
        <v>44670.0</v>
      </c>
      <c r="Q554" s="3" t="s">
        <v>31</v>
      </c>
      <c r="R554" s="3" t="s">
        <v>29</v>
      </c>
      <c r="S554" s="5">
        <v>745732.0</v>
      </c>
      <c r="T554" s="3"/>
      <c r="U554" s="3"/>
      <c r="V554" s="3"/>
      <c r="W554" s="3"/>
      <c r="X554" s="3"/>
    </row>
    <row r="555">
      <c r="A555" s="3" t="s">
        <v>1177</v>
      </c>
      <c r="B555" s="3" t="s">
        <v>1178</v>
      </c>
      <c r="C555" s="3" t="s">
        <v>21</v>
      </c>
      <c r="D555" s="3" t="s">
        <v>59</v>
      </c>
      <c r="E555" s="3" t="s">
        <v>1156</v>
      </c>
      <c r="F555" s="3" t="s">
        <v>28</v>
      </c>
      <c r="G555" s="3" t="s">
        <v>29</v>
      </c>
      <c r="H555" s="3" t="s">
        <v>30</v>
      </c>
      <c r="I555" s="3" t="s">
        <v>25</v>
      </c>
      <c r="J555" s="3" t="s">
        <v>24</v>
      </c>
      <c r="K555" s="3" t="s">
        <v>25</v>
      </c>
      <c r="L555" s="5">
        <v>500.0</v>
      </c>
      <c r="M555" s="5">
        <v>300.0</v>
      </c>
      <c r="N555" s="5">
        <v>200.0</v>
      </c>
      <c r="O555" s="5">
        <v>1000.0</v>
      </c>
      <c r="P555" s="6">
        <v>44821.0</v>
      </c>
      <c r="Q555" s="3" t="s">
        <v>31</v>
      </c>
      <c r="R555" s="3" t="s">
        <v>29</v>
      </c>
      <c r="S555" s="5">
        <v>916365.0</v>
      </c>
      <c r="T555" s="3"/>
      <c r="U555" s="3"/>
      <c r="V555" s="3"/>
      <c r="W555" s="3"/>
      <c r="X555" s="3"/>
    </row>
    <row r="556">
      <c r="A556" s="3" t="s">
        <v>1179</v>
      </c>
      <c r="B556" s="3" t="s">
        <v>1180</v>
      </c>
      <c r="C556" s="3" t="s">
        <v>21</v>
      </c>
      <c r="D556" s="3" t="s">
        <v>22</v>
      </c>
      <c r="E556" s="3" t="s">
        <v>1156</v>
      </c>
      <c r="F556" s="3" t="s">
        <v>31</v>
      </c>
      <c r="G556" s="3" t="s">
        <v>29</v>
      </c>
      <c r="H556" s="3" t="s">
        <v>24</v>
      </c>
      <c r="I556" s="3" t="s">
        <v>25</v>
      </c>
      <c r="J556" s="3" t="s">
        <v>30</v>
      </c>
      <c r="K556" s="3" t="s">
        <v>25</v>
      </c>
      <c r="L556" s="5">
        <v>430.0</v>
      </c>
      <c r="M556" s="5">
        <v>231.0</v>
      </c>
      <c r="N556" s="5">
        <v>300.0</v>
      </c>
      <c r="O556" s="5">
        <v>961.0</v>
      </c>
      <c r="P556" s="6">
        <v>44667.0</v>
      </c>
      <c r="Q556" s="3" t="s">
        <v>31</v>
      </c>
      <c r="R556" s="3" t="s">
        <v>29</v>
      </c>
      <c r="S556" s="5">
        <v>764478.0</v>
      </c>
      <c r="T556" s="3"/>
      <c r="U556" s="3"/>
      <c r="V556" s="3"/>
      <c r="W556" s="3"/>
      <c r="X556" s="3"/>
    </row>
    <row r="557">
      <c r="A557" s="3" t="s">
        <v>1181</v>
      </c>
      <c r="B557" s="3" t="s">
        <v>1182</v>
      </c>
      <c r="C557" s="3" t="s">
        <v>21</v>
      </c>
      <c r="D557" s="3" t="s">
        <v>59</v>
      </c>
      <c r="E557" s="3" t="s">
        <v>1156</v>
      </c>
      <c r="F557" s="3" t="s">
        <v>30</v>
      </c>
      <c r="G557" s="3" t="s">
        <v>25</v>
      </c>
      <c r="H557" s="3" t="s">
        <v>30</v>
      </c>
      <c r="I557" s="3" t="s">
        <v>25</v>
      </c>
      <c r="J557" s="3" t="s">
        <v>30</v>
      </c>
      <c r="K557" s="3" t="s">
        <v>25</v>
      </c>
      <c r="L557" s="5">
        <v>335.0</v>
      </c>
      <c r="M557" s="5">
        <v>300.0</v>
      </c>
      <c r="N557" s="5">
        <v>300.0</v>
      </c>
      <c r="O557" s="5">
        <v>935.0</v>
      </c>
      <c r="P557" s="6">
        <v>44873.0</v>
      </c>
      <c r="Q557" s="3" t="s">
        <v>31</v>
      </c>
      <c r="R557" s="3" t="s">
        <v>29</v>
      </c>
      <c r="S557" s="5">
        <v>912615.0</v>
      </c>
      <c r="T557" s="3"/>
      <c r="U557" s="3"/>
      <c r="V557" s="3"/>
      <c r="W557" s="3"/>
      <c r="X557" s="3"/>
    </row>
    <row r="558">
      <c r="A558" s="3" t="s">
        <v>1183</v>
      </c>
      <c r="B558" s="3" t="s">
        <v>1184</v>
      </c>
      <c r="C558" s="3" t="s">
        <v>21</v>
      </c>
      <c r="D558" s="3" t="s">
        <v>22</v>
      </c>
      <c r="E558" s="3" t="s">
        <v>1156</v>
      </c>
      <c r="F558" s="3" t="s">
        <v>30</v>
      </c>
      <c r="G558" s="3" t="s">
        <v>25</v>
      </c>
      <c r="H558" s="3" t="s">
        <v>24</v>
      </c>
      <c r="I558" s="3" t="s">
        <v>25</v>
      </c>
      <c r="J558" s="3" t="s">
        <v>24</v>
      </c>
      <c r="K558" s="3" t="s">
        <v>25</v>
      </c>
      <c r="L558" s="5">
        <v>310.0</v>
      </c>
      <c r="M558" s="5">
        <v>281.0</v>
      </c>
      <c r="N558" s="5">
        <v>220.0</v>
      </c>
      <c r="O558" s="5">
        <v>811.0</v>
      </c>
      <c r="P558" s="6">
        <v>44670.0</v>
      </c>
      <c r="Q558" s="3" t="s">
        <v>30</v>
      </c>
      <c r="R558" s="3" t="s">
        <v>25</v>
      </c>
      <c r="S558" s="5">
        <v>104169.0</v>
      </c>
      <c r="T558" s="3"/>
      <c r="U558" s="3"/>
      <c r="V558" s="3"/>
      <c r="W558" s="3"/>
      <c r="X558" s="3"/>
    </row>
    <row r="559">
      <c r="A559" s="3" t="s">
        <v>1185</v>
      </c>
      <c r="B559" s="3" t="s">
        <v>1186</v>
      </c>
      <c r="C559" s="3" t="s">
        <v>21</v>
      </c>
      <c r="D559" s="3" t="s">
        <v>22</v>
      </c>
      <c r="E559" s="3" t="s">
        <v>1156</v>
      </c>
      <c r="F559" s="3" t="s">
        <v>24</v>
      </c>
      <c r="G559" s="3" t="s">
        <v>25</v>
      </c>
      <c r="H559" s="3" t="s">
        <v>24</v>
      </c>
      <c r="I559" s="3" t="s">
        <v>25</v>
      </c>
      <c r="J559" s="3" t="s">
        <v>30</v>
      </c>
      <c r="K559" s="3" t="s">
        <v>25</v>
      </c>
      <c r="L559" s="5">
        <v>251.0</v>
      </c>
      <c r="M559" s="5">
        <v>237.0</v>
      </c>
      <c r="N559" s="5">
        <v>300.0</v>
      </c>
      <c r="O559" s="5">
        <v>788.0</v>
      </c>
      <c r="P559" s="6">
        <v>44667.0</v>
      </c>
      <c r="Q559" s="3" t="s">
        <v>30</v>
      </c>
      <c r="R559" s="3" t="s">
        <v>25</v>
      </c>
      <c r="S559" s="5">
        <v>1170010.0</v>
      </c>
      <c r="T559" s="3"/>
      <c r="U559" s="3"/>
      <c r="V559" s="3"/>
      <c r="W559" s="3"/>
      <c r="X559" s="3"/>
    </row>
    <row r="560">
      <c r="A560" s="3" t="s">
        <v>1187</v>
      </c>
      <c r="B560" s="3" t="s">
        <v>1188</v>
      </c>
      <c r="C560" s="3" t="s">
        <v>21</v>
      </c>
      <c r="D560" s="3" t="s">
        <v>22</v>
      </c>
      <c r="E560" s="3" t="s">
        <v>1156</v>
      </c>
      <c r="F560" s="3" t="s">
        <v>24</v>
      </c>
      <c r="G560" s="3" t="s">
        <v>25</v>
      </c>
      <c r="H560" s="3" t="s">
        <v>30</v>
      </c>
      <c r="I560" s="3" t="s">
        <v>25</v>
      </c>
      <c r="J560" s="3" t="s">
        <v>24</v>
      </c>
      <c r="K560" s="3" t="s">
        <v>25</v>
      </c>
      <c r="L560" s="5">
        <v>230.0</v>
      </c>
      <c r="M560" s="5">
        <v>317.0</v>
      </c>
      <c r="N560" s="5">
        <v>205.0</v>
      </c>
      <c r="O560" s="5">
        <v>752.0</v>
      </c>
      <c r="P560" s="6">
        <v>44668.0</v>
      </c>
      <c r="Q560" s="3" t="s">
        <v>30</v>
      </c>
      <c r="R560" s="3" t="s">
        <v>25</v>
      </c>
      <c r="S560" s="5">
        <v>354950.0</v>
      </c>
      <c r="T560" s="3"/>
      <c r="U560" s="3"/>
      <c r="V560" s="3"/>
      <c r="W560" s="3"/>
      <c r="X560" s="3"/>
    </row>
    <row r="561">
      <c r="A561" s="3" t="s">
        <v>1189</v>
      </c>
      <c r="B561" s="3" t="s">
        <v>1190</v>
      </c>
      <c r="C561" s="3" t="s">
        <v>21</v>
      </c>
      <c r="D561" s="3" t="s">
        <v>22</v>
      </c>
      <c r="E561" s="3" t="s">
        <v>1156</v>
      </c>
      <c r="F561" s="3" t="s">
        <v>24</v>
      </c>
      <c r="G561" s="3" t="s">
        <v>25</v>
      </c>
      <c r="H561" s="3" t="s">
        <v>24</v>
      </c>
      <c r="I561" s="3" t="s">
        <v>25</v>
      </c>
      <c r="J561" s="3" t="s">
        <v>24</v>
      </c>
      <c r="K561" s="3" t="s">
        <v>25</v>
      </c>
      <c r="L561" s="5">
        <v>264.0</v>
      </c>
      <c r="M561" s="5">
        <v>261.0</v>
      </c>
      <c r="N561" s="5">
        <v>210.0</v>
      </c>
      <c r="O561" s="5">
        <v>735.0</v>
      </c>
      <c r="P561" s="6">
        <v>44667.0</v>
      </c>
      <c r="Q561" s="3" t="s">
        <v>24</v>
      </c>
      <c r="R561" s="3" t="s">
        <v>25</v>
      </c>
      <c r="S561" s="5">
        <v>1158449.0</v>
      </c>
      <c r="T561" s="3"/>
      <c r="U561" s="3"/>
      <c r="V561" s="3"/>
      <c r="W561" s="3"/>
      <c r="X561" s="3"/>
    </row>
    <row r="562">
      <c r="A562" s="3" t="s">
        <v>1191</v>
      </c>
      <c r="B562" s="3" t="s">
        <v>1192</v>
      </c>
      <c r="C562" s="3" t="s">
        <v>21</v>
      </c>
      <c r="D562" s="3" t="s">
        <v>59</v>
      </c>
      <c r="E562" s="3" t="s">
        <v>1156</v>
      </c>
      <c r="F562" s="3" t="s">
        <v>24</v>
      </c>
      <c r="G562" s="3" t="s">
        <v>25</v>
      </c>
      <c r="H562" s="3" t="s">
        <v>24</v>
      </c>
      <c r="I562" s="3" t="s">
        <v>25</v>
      </c>
      <c r="J562" s="3" t="s">
        <v>24</v>
      </c>
      <c r="K562" s="3" t="s">
        <v>25</v>
      </c>
      <c r="L562" s="5">
        <v>235.0</v>
      </c>
      <c r="M562" s="5">
        <v>241.0</v>
      </c>
      <c r="N562" s="5">
        <v>235.0</v>
      </c>
      <c r="O562" s="5">
        <v>711.0</v>
      </c>
      <c r="P562" s="6">
        <v>44668.0</v>
      </c>
      <c r="Q562" s="3" t="s">
        <v>24</v>
      </c>
      <c r="R562" s="3" t="s">
        <v>25</v>
      </c>
      <c r="S562" s="5">
        <v>1370637.0</v>
      </c>
      <c r="T562" s="3"/>
      <c r="U562" s="3"/>
      <c r="V562" s="3"/>
      <c r="W562" s="3"/>
      <c r="X562" s="3"/>
    </row>
    <row r="563">
      <c r="A563" s="3" t="s">
        <v>1193</v>
      </c>
      <c r="B563" s="3" t="s">
        <v>1194</v>
      </c>
      <c r="C563" s="3" t="s">
        <v>21</v>
      </c>
      <c r="D563" s="3" t="s">
        <v>22</v>
      </c>
      <c r="E563" s="3" t="s">
        <v>1156</v>
      </c>
      <c r="F563" s="3" t="s">
        <v>24</v>
      </c>
      <c r="G563" s="3" t="s">
        <v>25</v>
      </c>
      <c r="H563" s="3" t="s">
        <v>24</v>
      </c>
      <c r="I563" s="3" t="s">
        <v>25</v>
      </c>
      <c r="J563" s="3" t="s">
        <v>24</v>
      </c>
      <c r="K563" s="3" t="s">
        <v>25</v>
      </c>
      <c r="L563" s="5">
        <v>260.0</v>
      </c>
      <c r="M563" s="5">
        <v>222.0</v>
      </c>
      <c r="N563" s="5">
        <v>213.0</v>
      </c>
      <c r="O563" s="5">
        <v>695.0</v>
      </c>
      <c r="P563" s="6">
        <v>44667.0</v>
      </c>
      <c r="Q563" s="3" t="s">
        <v>24</v>
      </c>
      <c r="R563" s="3" t="s">
        <v>25</v>
      </c>
      <c r="S563" s="5">
        <v>866787.0</v>
      </c>
      <c r="T563" s="3"/>
      <c r="U563" s="3"/>
      <c r="V563" s="3"/>
      <c r="W563" s="3"/>
      <c r="X563" s="3"/>
    </row>
    <row r="564">
      <c r="A564" s="3" t="s">
        <v>1195</v>
      </c>
      <c r="B564" s="3" t="s">
        <v>1196</v>
      </c>
      <c r="C564" s="3" t="s">
        <v>21</v>
      </c>
      <c r="D564" s="3" t="s">
        <v>22</v>
      </c>
      <c r="E564" s="3" t="s">
        <v>1156</v>
      </c>
      <c r="F564" s="3" t="s">
        <v>24</v>
      </c>
      <c r="G564" s="3" t="s">
        <v>25</v>
      </c>
      <c r="H564" s="3" t="s">
        <v>24</v>
      </c>
      <c r="I564" s="3" t="s">
        <v>25</v>
      </c>
      <c r="J564" s="3" t="s">
        <v>24</v>
      </c>
      <c r="K564" s="3" t="s">
        <v>25</v>
      </c>
      <c r="L564" s="5">
        <v>247.0</v>
      </c>
      <c r="M564" s="5">
        <v>222.0</v>
      </c>
      <c r="N564" s="5">
        <v>200.0</v>
      </c>
      <c r="O564" s="5">
        <v>669.0</v>
      </c>
      <c r="P564" s="6">
        <v>44668.0</v>
      </c>
      <c r="Q564" s="3" t="s">
        <v>24</v>
      </c>
      <c r="R564" s="3" t="s">
        <v>25</v>
      </c>
      <c r="S564" s="5">
        <v>29534.0</v>
      </c>
      <c r="T564" s="3"/>
      <c r="U564" s="3"/>
      <c r="V564" s="3"/>
      <c r="W564" s="3"/>
      <c r="X564" s="3"/>
    </row>
    <row r="565">
      <c r="A565" s="3" t="s">
        <v>1197</v>
      </c>
      <c r="B565" s="3" t="s">
        <v>1198</v>
      </c>
      <c r="C565" s="3" t="s">
        <v>21</v>
      </c>
      <c r="D565" s="3" t="s">
        <v>59</v>
      </c>
      <c r="E565" s="3" t="s">
        <v>1156</v>
      </c>
      <c r="F565" s="3" t="s">
        <v>24</v>
      </c>
      <c r="G565" s="3" t="s">
        <v>25</v>
      </c>
      <c r="H565" s="3" t="s">
        <v>24</v>
      </c>
      <c r="I565" s="3" t="s">
        <v>25</v>
      </c>
      <c r="J565" s="3" t="s">
        <v>24</v>
      </c>
      <c r="K565" s="3" t="s">
        <v>25</v>
      </c>
      <c r="L565" s="5">
        <v>225.0</v>
      </c>
      <c r="M565" s="5">
        <v>227.0</v>
      </c>
      <c r="N565" s="5">
        <v>215.0</v>
      </c>
      <c r="O565" s="5">
        <v>667.0</v>
      </c>
      <c r="P565" s="6">
        <v>44722.0</v>
      </c>
      <c r="Q565" s="3" t="s">
        <v>24</v>
      </c>
      <c r="R565" s="3" t="s">
        <v>25</v>
      </c>
      <c r="S565" s="5">
        <v>1784535.0</v>
      </c>
      <c r="T565" s="3"/>
      <c r="U565" s="3"/>
      <c r="V565" s="3"/>
      <c r="W565" s="3"/>
      <c r="X565" s="3"/>
    </row>
    <row r="566">
      <c r="A566" s="3" t="s">
        <v>1199</v>
      </c>
      <c r="B566" s="3" t="s">
        <v>1200</v>
      </c>
      <c r="C566" s="3" t="s">
        <v>21</v>
      </c>
      <c r="D566" s="3" t="s">
        <v>59</v>
      </c>
      <c r="E566" s="3" t="s">
        <v>1156</v>
      </c>
      <c r="F566" s="3" t="s">
        <v>24</v>
      </c>
      <c r="G566" s="3" t="s">
        <v>25</v>
      </c>
      <c r="H566" s="3" t="s">
        <v>24</v>
      </c>
      <c r="I566" s="3" t="s">
        <v>25</v>
      </c>
      <c r="J566" s="3" t="s">
        <v>24</v>
      </c>
      <c r="K566" s="3" t="s">
        <v>25</v>
      </c>
      <c r="L566" s="5">
        <v>235.0</v>
      </c>
      <c r="M566" s="5">
        <v>208.0</v>
      </c>
      <c r="N566" s="5">
        <v>215.0</v>
      </c>
      <c r="O566" s="5">
        <v>658.0</v>
      </c>
      <c r="P566" s="6">
        <v>44668.0</v>
      </c>
      <c r="Q566" s="3" t="s">
        <v>24</v>
      </c>
      <c r="R566" s="3" t="s">
        <v>25</v>
      </c>
      <c r="S566" s="5">
        <v>935703.0</v>
      </c>
      <c r="T566" s="3"/>
      <c r="U566" s="3"/>
      <c r="V566" s="3"/>
      <c r="W566" s="3"/>
      <c r="X566" s="3"/>
    </row>
    <row r="567">
      <c r="A567" s="3" t="s">
        <v>1201</v>
      </c>
      <c r="B567" s="3" t="s">
        <v>1202</v>
      </c>
      <c r="C567" s="3" t="s">
        <v>21</v>
      </c>
      <c r="D567" s="3" t="s">
        <v>59</v>
      </c>
      <c r="E567" s="3" t="s">
        <v>1156</v>
      </c>
      <c r="F567" s="3" t="s">
        <v>24</v>
      </c>
      <c r="G567" s="3" t="s">
        <v>25</v>
      </c>
      <c r="H567" s="3" t="s">
        <v>24</v>
      </c>
      <c r="I567" s="3" t="s">
        <v>25</v>
      </c>
      <c r="J567" s="3" t="s">
        <v>24</v>
      </c>
      <c r="K567" s="3" t="s">
        <v>25</v>
      </c>
      <c r="L567" s="5">
        <v>205.0</v>
      </c>
      <c r="M567" s="5">
        <v>242.0</v>
      </c>
      <c r="N567" s="5">
        <v>200.0</v>
      </c>
      <c r="O567" s="5">
        <v>647.0</v>
      </c>
      <c r="P567" s="6">
        <v>44670.0</v>
      </c>
      <c r="Q567" s="3" t="s">
        <v>24</v>
      </c>
      <c r="R567" s="3" t="s">
        <v>25</v>
      </c>
      <c r="S567" s="5">
        <v>1403568.0</v>
      </c>
      <c r="T567" s="3"/>
      <c r="U567" s="3"/>
      <c r="V567" s="3"/>
      <c r="W567" s="3"/>
      <c r="X567" s="3"/>
    </row>
    <row r="568">
      <c r="A568" s="3" t="s">
        <v>1203</v>
      </c>
      <c r="B568" s="3" t="s">
        <v>1204</v>
      </c>
      <c r="C568" s="3" t="s">
        <v>84</v>
      </c>
      <c r="D568" s="3" t="s">
        <v>59</v>
      </c>
      <c r="E568" s="3" t="s">
        <v>1156</v>
      </c>
      <c r="F568" s="3" t="s">
        <v>24</v>
      </c>
      <c r="G568" s="3" t="s">
        <v>25</v>
      </c>
      <c r="H568" s="3" t="s">
        <v>24</v>
      </c>
      <c r="I568" s="3" t="s">
        <v>25</v>
      </c>
      <c r="J568" s="3" t="s">
        <v>24</v>
      </c>
      <c r="K568" s="3" t="s">
        <v>25</v>
      </c>
      <c r="L568" s="5">
        <v>203.0</v>
      </c>
      <c r="M568" s="5">
        <v>202.0</v>
      </c>
      <c r="N568" s="5">
        <v>225.0</v>
      </c>
      <c r="O568" s="5">
        <v>630.0</v>
      </c>
      <c r="P568" s="6">
        <v>44722.0</v>
      </c>
      <c r="Q568" s="3" t="s">
        <v>24</v>
      </c>
      <c r="R568" s="3" t="s">
        <v>25</v>
      </c>
      <c r="S568" s="5">
        <v>1729173.0</v>
      </c>
      <c r="T568" s="3"/>
      <c r="U568" s="3"/>
      <c r="V568" s="3"/>
      <c r="W568" s="3"/>
      <c r="X568" s="3"/>
    </row>
    <row r="569">
      <c r="A569" s="3" t="s">
        <v>1205</v>
      </c>
      <c r="B569" s="3" t="s">
        <v>1206</v>
      </c>
      <c r="C569" s="3" t="s">
        <v>21</v>
      </c>
      <c r="D569" s="3" t="s">
        <v>22</v>
      </c>
      <c r="E569" s="3" t="s">
        <v>1156</v>
      </c>
      <c r="F569" s="3" t="s">
        <v>24</v>
      </c>
      <c r="G569" s="3" t="s">
        <v>25</v>
      </c>
      <c r="H569" s="3" t="s">
        <v>24</v>
      </c>
      <c r="I569" s="3" t="s">
        <v>25</v>
      </c>
      <c r="J569" s="3" t="s">
        <v>24</v>
      </c>
      <c r="K569" s="3" t="s">
        <v>25</v>
      </c>
      <c r="L569" s="5">
        <v>218.0</v>
      </c>
      <c r="M569" s="5">
        <v>200.0</v>
      </c>
      <c r="N569" s="5">
        <v>200.0</v>
      </c>
      <c r="O569" s="5">
        <v>618.0</v>
      </c>
      <c r="P569" s="6">
        <v>44669.0</v>
      </c>
      <c r="Q569" s="3" t="s">
        <v>24</v>
      </c>
      <c r="R569" s="3" t="s">
        <v>25</v>
      </c>
      <c r="S569" s="5">
        <v>60667.0</v>
      </c>
      <c r="T569" s="3"/>
      <c r="U569" s="3"/>
      <c r="V569" s="3"/>
      <c r="W569" s="3"/>
      <c r="X569" s="3"/>
    </row>
    <row r="570">
      <c r="A570" s="3" t="s">
        <v>1207</v>
      </c>
      <c r="B570" s="3" t="s">
        <v>1208</v>
      </c>
      <c r="C570" s="3" t="s">
        <v>21</v>
      </c>
      <c r="D570" s="3" t="s">
        <v>22</v>
      </c>
      <c r="E570" s="3" t="s">
        <v>1209</v>
      </c>
      <c r="F570" s="3" t="s">
        <v>28</v>
      </c>
      <c r="G570" s="3" t="s">
        <v>29</v>
      </c>
      <c r="H570" s="3" t="s">
        <v>30</v>
      </c>
      <c r="I570" s="3" t="s">
        <v>25</v>
      </c>
      <c r="J570" s="3" t="s">
        <v>30</v>
      </c>
      <c r="K570" s="3" t="s">
        <v>25</v>
      </c>
      <c r="L570" s="5">
        <v>560.0</v>
      </c>
      <c r="M570" s="5">
        <v>318.0</v>
      </c>
      <c r="N570" s="5">
        <v>300.0</v>
      </c>
      <c r="O570" s="5">
        <v>1178.0</v>
      </c>
      <c r="P570" s="6">
        <v>44671.0</v>
      </c>
      <c r="Q570" s="3" t="s">
        <v>31</v>
      </c>
      <c r="R570" s="3" t="s">
        <v>29</v>
      </c>
      <c r="S570" s="5">
        <v>1166003.0</v>
      </c>
      <c r="T570" s="3"/>
      <c r="U570" s="3"/>
      <c r="V570" s="3"/>
      <c r="W570" s="3"/>
      <c r="X570" s="3"/>
    </row>
    <row r="571">
      <c r="A571" s="3" t="s">
        <v>1210</v>
      </c>
      <c r="B571" s="3" t="s">
        <v>1211</v>
      </c>
      <c r="C571" s="3" t="s">
        <v>21</v>
      </c>
      <c r="D571" s="3" t="s">
        <v>59</v>
      </c>
      <c r="E571" s="3" t="s">
        <v>1209</v>
      </c>
      <c r="F571" s="3" t="s">
        <v>31</v>
      </c>
      <c r="G571" s="3" t="s">
        <v>29</v>
      </c>
      <c r="H571" s="3" t="s">
        <v>31</v>
      </c>
      <c r="I571" s="3" t="s">
        <v>29</v>
      </c>
      <c r="J571" s="3" t="s">
        <v>24</v>
      </c>
      <c r="K571" s="3" t="s">
        <v>25</v>
      </c>
      <c r="L571" s="5">
        <v>467.0</v>
      </c>
      <c r="M571" s="5">
        <v>423.0</v>
      </c>
      <c r="N571" s="5">
        <v>280.0</v>
      </c>
      <c r="O571" s="5">
        <v>1170.0</v>
      </c>
      <c r="P571" s="6">
        <v>44669.0</v>
      </c>
      <c r="Q571" s="3" t="s">
        <v>31</v>
      </c>
      <c r="R571" s="3" t="s">
        <v>29</v>
      </c>
      <c r="S571" s="5">
        <v>878927.0</v>
      </c>
      <c r="T571" s="3"/>
      <c r="U571" s="3"/>
      <c r="V571" s="3"/>
      <c r="W571" s="3"/>
      <c r="X571" s="3"/>
    </row>
    <row r="572">
      <c r="A572" s="3" t="s">
        <v>1212</v>
      </c>
      <c r="B572" s="3" t="s">
        <v>1213</v>
      </c>
      <c r="C572" s="3" t="s">
        <v>21</v>
      </c>
      <c r="D572" s="3" t="s">
        <v>59</v>
      </c>
      <c r="E572" s="3" t="s">
        <v>1209</v>
      </c>
      <c r="F572" s="3" t="s">
        <v>28</v>
      </c>
      <c r="G572" s="3" t="s">
        <v>29</v>
      </c>
      <c r="H572" s="3" t="s">
        <v>30</v>
      </c>
      <c r="I572" s="3" t="s">
        <v>25</v>
      </c>
      <c r="J572" s="3" t="s">
        <v>30</v>
      </c>
      <c r="K572" s="3" t="s">
        <v>25</v>
      </c>
      <c r="L572" s="5">
        <v>532.0</v>
      </c>
      <c r="M572" s="5">
        <v>311.0</v>
      </c>
      <c r="N572" s="5">
        <v>303.0</v>
      </c>
      <c r="O572" s="5">
        <v>1146.0</v>
      </c>
      <c r="P572" s="6">
        <v>44873.0</v>
      </c>
      <c r="Q572" s="3" t="s">
        <v>31</v>
      </c>
      <c r="R572" s="3" t="s">
        <v>29</v>
      </c>
      <c r="S572" s="5">
        <v>883945.0</v>
      </c>
      <c r="T572" s="3"/>
      <c r="U572" s="3"/>
      <c r="V572" s="3"/>
      <c r="W572" s="3"/>
      <c r="X572" s="3"/>
    </row>
    <row r="573">
      <c r="A573" s="3" t="s">
        <v>1214</v>
      </c>
      <c r="B573" s="3" t="s">
        <v>1215</v>
      </c>
      <c r="C573" s="3" t="s">
        <v>21</v>
      </c>
      <c r="D573" s="3" t="s">
        <v>59</v>
      </c>
      <c r="E573" s="3" t="s">
        <v>1209</v>
      </c>
      <c r="F573" s="3" t="s">
        <v>28</v>
      </c>
      <c r="G573" s="3" t="s">
        <v>29</v>
      </c>
      <c r="H573" s="3" t="s">
        <v>30</v>
      </c>
      <c r="I573" s="3" t="s">
        <v>25</v>
      </c>
      <c r="J573" s="3" t="s">
        <v>30</v>
      </c>
      <c r="K573" s="3" t="s">
        <v>25</v>
      </c>
      <c r="L573" s="5">
        <v>510.0</v>
      </c>
      <c r="M573" s="5">
        <v>310.0</v>
      </c>
      <c r="N573" s="5">
        <v>325.0</v>
      </c>
      <c r="O573" s="5">
        <v>1145.0</v>
      </c>
      <c r="P573" s="6">
        <v>44668.0</v>
      </c>
      <c r="Q573" s="3" t="s">
        <v>31</v>
      </c>
      <c r="R573" s="3" t="s">
        <v>29</v>
      </c>
      <c r="S573" s="5">
        <v>277948.0</v>
      </c>
      <c r="T573" s="3"/>
      <c r="U573" s="3"/>
      <c r="V573" s="3"/>
      <c r="W573" s="3"/>
      <c r="X573" s="3"/>
    </row>
    <row r="574">
      <c r="A574" s="3" t="s">
        <v>1216</v>
      </c>
      <c r="B574" s="3" t="s">
        <v>1217</v>
      </c>
      <c r="C574" s="3" t="s">
        <v>21</v>
      </c>
      <c r="D574" s="3" t="s">
        <v>22</v>
      </c>
      <c r="E574" s="3" t="s">
        <v>1209</v>
      </c>
      <c r="F574" s="3" t="s">
        <v>30</v>
      </c>
      <c r="G574" s="3" t="s">
        <v>25</v>
      </c>
      <c r="H574" s="3" t="s">
        <v>30</v>
      </c>
      <c r="I574" s="3" t="s">
        <v>25</v>
      </c>
      <c r="J574" s="3" t="s">
        <v>30</v>
      </c>
      <c r="K574" s="3" t="s">
        <v>25</v>
      </c>
      <c r="L574" s="5">
        <v>358.0</v>
      </c>
      <c r="M574" s="5">
        <v>339.0</v>
      </c>
      <c r="N574" s="5">
        <v>330.0</v>
      </c>
      <c r="O574" s="5">
        <v>1027.0</v>
      </c>
      <c r="P574" s="6">
        <v>44669.0</v>
      </c>
      <c r="Q574" s="3" t="s">
        <v>31</v>
      </c>
      <c r="R574" s="3" t="s">
        <v>29</v>
      </c>
      <c r="S574" s="5">
        <v>702165.0</v>
      </c>
      <c r="T574" s="3"/>
      <c r="U574" s="3"/>
      <c r="V574" s="3"/>
      <c r="W574" s="3"/>
      <c r="X574" s="3"/>
    </row>
    <row r="575">
      <c r="A575" s="3" t="s">
        <v>1218</v>
      </c>
      <c r="B575" s="3" t="s">
        <v>1219</v>
      </c>
      <c r="C575" s="3" t="s">
        <v>21</v>
      </c>
      <c r="D575" s="3" t="s">
        <v>22</v>
      </c>
      <c r="E575" s="3" t="s">
        <v>1209</v>
      </c>
      <c r="F575" s="3" t="s">
        <v>24</v>
      </c>
      <c r="G575" s="3" t="s">
        <v>25</v>
      </c>
      <c r="H575" s="3" t="s">
        <v>24</v>
      </c>
      <c r="I575" s="3" t="s">
        <v>25</v>
      </c>
      <c r="J575" s="3" t="s">
        <v>24</v>
      </c>
      <c r="K575" s="3" t="s">
        <v>25</v>
      </c>
      <c r="L575" s="5">
        <v>290.0</v>
      </c>
      <c r="M575" s="5">
        <v>257.0</v>
      </c>
      <c r="N575" s="5">
        <v>245.0</v>
      </c>
      <c r="O575" s="5">
        <v>792.0</v>
      </c>
      <c r="P575" s="6">
        <v>44670.0</v>
      </c>
      <c r="Q575" s="3" t="s">
        <v>30</v>
      </c>
      <c r="R575" s="3" t="s">
        <v>25</v>
      </c>
      <c r="S575" s="5">
        <v>100885.0</v>
      </c>
      <c r="T575" s="3"/>
      <c r="U575" s="3"/>
      <c r="V575" s="3"/>
      <c r="W575" s="3"/>
      <c r="X575" s="3"/>
    </row>
    <row r="576">
      <c r="A576" s="3" t="s">
        <v>1220</v>
      </c>
      <c r="B576" s="3" t="s">
        <v>1221</v>
      </c>
      <c r="C576" s="3" t="s">
        <v>21</v>
      </c>
      <c r="D576" s="3" t="s">
        <v>59</v>
      </c>
      <c r="E576" s="3" t="s">
        <v>1222</v>
      </c>
      <c r="F576" s="3" t="s">
        <v>28</v>
      </c>
      <c r="G576" s="3" t="s">
        <v>29</v>
      </c>
      <c r="H576" s="3" t="s">
        <v>30</v>
      </c>
      <c r="I576" s="3" t="s">
        <v>25</v>
      </c>
      <c r="J576" s="3" t="s">
        <v>30</v>
      </c>
      <c r="K576" s="3" t="s">
        <v>25</v>
      </c>
      <c r="L576" s="5">
        <v>535.0</v>
      </c>
      <c r="M576" s="5">
        <v>325.0</v>
      </c>
      <c r="N576" s="5">
        <v>335.0</v>
      </c>
      <c r="O576" s="5">
        <v>1195.0</v>
      </c>
      <c r="P576" s="6">
        <v>44669.0</v>
      </c>
      <c r="Q576" s="3" t="s">
        <v>31</v>
      </c>
      <c r="R576" s="3" t="s">
        <v>29</v>
      </c>
      <c r="S576" s="5">
        <v>1288469.0</v>
      </c>
      <c r="T576" s="3"/>
      <c r="U576" s="3"/>
      <c r="V576" s="3"/>
      <c r="W576" s="3"/>
      <c r="X576" s="3"/>
    </row>
    <row r="577">
      <c r="A577" s="3" t="s">
        <v>1223</v>
      </c>
      <c r="B577" s="3" t="s">
        <v>1224</v>
      </c>
      <c r="C577" s="3" t="s">
        <v>21</v>
      </c>
      <c r="D577" s="3" t="s">
        <v>59</v>
      </c>
      <c r="E577" s="3" t="s">
        <v>1222</v>
      </c>
      <c r="F577" s="3" t="s">
        <v>28</v>
      </c>
      <c r="G577" s="3" t="s">
        <v>29</v>
      </c>
      <c r="H577" s="3" t="s">
        <v>30</v>
      </c>
      <c r="I577" s="3" t="s">
        <v>25</v>
      </c>
      <c r="J577" s="3" t="s">
        <v>30</v>
      </c>
      <c r="K577" s="3" t="s">
        <v>25</v>
      </c>
      <c r="L577" s="5">
        <v>565.0</v>
      </c>
      <c r="M577" s="5">
        <v>316.0</v>
      </c>
      <c r="N577" s="5">
        <v>300.0</v>
      </c>
      <c r="O577" s="5">
        <v>1181.0</v>
      </c>
      <c r="P577" s="6">
        <v>44668.0</v>
      </c>
      <c r="Q577" s="3" t="s">
        <v>31</v>
      </c>
      <c r="R577" s="3" t="s">
        <v>29</v>
      </c>
      <c r="S577" s="5">
        <v>1463101.0</v>
      </c>
      <c r="T577" s="3"/>
      <c r="U577" s="3"/>
      <c r="V577" s="3"/>
      <c r="W577" s="3"/>
      <c r="X577" s="3"/>
    </row>
    <row r="578">
      <c r="A578" s="3" t="s">
        <v>1225</v>
      </c>
      <c r="B578" s="3" t="s">
        <v>1226</v>
      </c>
      <c r="C578" s="3" t="s">
        <v>21</v>
      </c>
      <c r="D578" s="3" t="s">
        <v>59</v>
      </c>
      <c r="E578" s="3" t="s">
        <v>1222</v>
      </c>
      <c r="F578" s="3" t="s">
        <v>28</v>
      </c>
      <c r="G578" s="3" t="s">
        <v>29</v>
      </c>
      <c r="H578" s="3" t="s">
        <v>24</v>
      </c>
      <c r="I578" s="3" t="s">
        <v>25</v>
      </c>
      <c r="J578" s="3" t="s">
        <v>30</v>
      </c>
      <c r="K578" s="3" t="s">
        <v>25</v>
      </c>
      <c r="L578" s="5">
        <v>575.0</v>
      </c>
      <c r="M578" s="5">
        <v>285.0</v>
      </c>
      <c r="N578" s="5">
        <v>305.0</v>
      </c>
      <c r="O578" s="5">
        <v>1165.0</v>
      </c>
      <c r="P578" s="6">
        <v>44873.0</v>
      </c>
      <c r="Q578" s="3" t="s">
        <v>31</v>
      </c>
      <c r="R578" s="3" t="s">
        <v>29</v>
      </c>
      <c r="S578" s="5">
        <v>833640.0</v>
      </c>
      <c r="T578" s="3"/>
      <c r="U578" s="3"/>
      <c r="V578" s="3"/>
      <c r="W578" s="3"/>
      <c r="X578" s="3"/>
    </row>
    <row r="579">
      <c r="A579" s="3" t="s">
        <v>1227</v>
      </c>
      <c r="B579" s="3" t="s">
        <v>1228</v>
      </c>
      <c r="C579" s="3" t="s">
        <v>21</v>
      </c>
      <c r="D579" s="3" t="s">
        <v>59</v>
      </c>
      <c r="E579" s="3" t="s">
        <v>1222</v>
      </c>
      <c r="F579" s="3" t="s">
        <v>28</v>
      </c>
      <c r="G579" s="3" t="s">
        <v>29</v>
      </c>
      <c r="H579" s="3" t="s">
        <v>30</v>
      </c>
      <c r="I579" s="3" t="s">
        <v>25</v>
      </c>
      <c r="J579" s="3" t="s">
        <v>30</v>
      </c>
      <c r="K579" s="3" t="s">
        <v>25</v>
      </c>
      <c r="L579" s="5">
        <v>530.0</v>
      </c>
      <c r="M579" s="5">
        <v>330.0</v>
      </c>
      <c r="N579" s="5">
        <v>300.0</v>
      </c>
      <c r="O579" s="5">
        <v>1160.0</v>
      </c>
      <c r="P579" s="6">
        <v>44669.0</v>
      </c>
      <c r="Q579" s="3" t="s">
        <v>31</v>
      </c>
      <c r="R579" s="3" t="s">
        <v>29</v>
      </c>
      <c r="S579" s="5">
        <v>723125.0</v>
      </c>
      <c r="T579" s="3"/>
      <c r="U579" s="3"/>
      <c r="V579" s="3"/>
      <c r="W579" s="3"/>
      <c r="X579" s="3"/>
    </row>
    <row r="580">
      <c r="A580" s="3" t="s">
        <v>1229</v>
      </c>
      <c r="B580" s="3" t="s">
        <v>1230</v>
      </c>
      <c r="C580" s="3" t="s">
        <v>21</v>
      </c>
      <c r="D580" s="3" t="s">
        <v>59</v>
      </c>
      <c r="E580" s="3" t="s">
        <v>1222</v>
      </c>
      <c r="F580" s="3" t="s">
        <v>28</v>
      </c>
      <c r="G580" s="3" t="s">
        <v>29</v>
      </c>
      <c r="H580" s="3" t="s">
        <v>30</v>
      </c>
      <c r="I580" s="3" t="s">
        <v>25</v>
      </c>
      <c r="J580" s="3" t="s">
        <v>30</v>
      </c>
      <c r="K580" s="3" t="s">
        <v>25</v>
      </c>
      <c r="L580" s="5">
        <v>510.0</v>
      </c>
      <c r="M580" s="5">
        <v>325.0</v>
      </c>
      <c r="N580" s="5">
        <v>315.0</v>
      </c>
      <c r="O580" s="5">
        <v>1150.0</v>
      </c>
      <c r="P580" s="6">
        <v>44669.0</v>
      </c>
      <c r="Q580" s="3" t="s">
        <v>31</v>
      </c>
      <c r="R580" s="3" t="s">
        <v>29</v>
      </c>
      <c r="S580" s="5">
        <v>707549.0</v>
      </c>
      <c r="T580" s="3"/>
      <c r="U580" s="3"/>
      <c r="V580" s="3"/>
      <c r="W580" s="3"/>
      <c r="X580" s="3"/>
    </row>
    <row r="581">
      <c r="A581" s="3" t="s">
        <v>1231</v>
      </c>
      <c r="B581" s="3" t="s">
        <v>1232</v>
      </c>
      <c r="C581" s="3" t="s">
        <v>21</v>
      </c>
      <c r="D581" s="3" t="s">
        <v>59</v>
      </c>
      <c r="E581" s="3" t="s">
        <v>1222</v>
      </c>
      <c r="F581" s="3" t="s">
        <v>28</v>
      </c>
      <c r="G581" s="3" t="s">
        <v>29</v>
      </c>
      <c r="H581" s="3" t="s">
        <v>30</v>
      </c>
      <c r="I581" s="3" t="s">
        <v>25</v>
      </c>
      <c r="J581" s="3" t="s">
        <v>30</v>
      </c>
      <c r="K581" s="3" t="s">
        <v>25</v>
      </c>
      <c r="L581" s="5">
        <v>535.0</v>
      </c>
      <c r="M581" s="5">
        <v>310.0</v>
      </c>
      <c r="N581" s="5">
        <v>305.0</v>
      </c>
      <c r="O581" s="5">
        <v>1150.0</v>
      </c>
      <c r="P581" s="6">
        <v>44670.0</v>
      </c>
      <c r="Q581" s="3" t="s">
        <v>31</v>
      </c>
      <c r="R581" s="3" t="s">
        <v>29</v>
      </c>
      <c r="S581" s="5">
        <v>1604778.0</v>
      </c>
      <c r="T581" s="3"/>
      <c r="U581" s="3"/>
      <c r="V581" s="3"/>
      <c r="W581" s="3"/>
      <c r="X581" s="3"/>
    </row>
    <row r="582">
      <c r="A582" s="3" t="s">
        <v>1233</v>
      </c>
      <c r="B582" s="3" t="s">
        <v>1234</v>
      </c>
      <c r="C582" s="3" t="s">
        <v>21</v>
      </c>
      <c r="D582" s="3" t="s">
        <v>59</v>
      </c>
      <c r="E582" s="3" t="s">
        <v>1222</v>
      </c>
      <c r="F582" s="3" t="s">
        <v>28</v>
      </c>
      <c r="G582" s="3" t="s">
        <v>29</v>
      </c>
      <c r="H582" s="3" t="s">
        <v>30</v>
      </c>
      <c r="I582" s="3" t="s">
        <v>25</v>
      </c>
      <c r="J582" s="3" t="s">
        <v>30</v>
      </c>
      <c r="K582" s="3" t="s">
        <v>25</v>
      </c>
      <c r="L582" s="5">
        <v>507.0</v>
      </c>
      <c r="M582" s="5">
        <v>328.0</v>
      </c>
      <c r="N582" s="5">
        <v>315.0</v>
      </c>
      <c r="O582" s="5">
        <v>1150.0</v>
      </c>
      <c r="P582" s="6">
        <v>44670.0</v>
      </c>
      <c r="Q582" s="3" t="s">
        <v>31</v>
      </c>
      <c r="R582" s="3" t="s">
        <v>29</v>
      </c>
      <c r="S582" s="5">
        <v>97210.0</v>
      </c>
      <c r="T582" s="3"/>
      <c r="U582" s="3"/>
      <c r="V582" s="3"/>
      <c r="W582" s="3"/>
      <c r="X582" s="3"/>
    </row>
    <row r="583">
      <c r="A583" s="3" t="s">
        <v>1235</v>
      </c>
      <c r="B583" s="3" t="s">
        <v>1236</v>
      </c>
      <c r="C583" s="3" t="s">
        <v>21</v>
      </c>
      <c r="D583" s="3" t="s">
        <v>59</v>
      </c>
      <c r="E583" s="3" t="s">
        <v>1222</v>
      </c>
      <c r="F583" s="3" t="s">
        <v>28</v>
      </c>
      <c r="G583" s="3" t="s">
        <v>29</v>
      </c>
      <c r="H583" s="3" t="s">
        <v>30</v>
      </c>
      <c r="I583" s="3" t="s">
        <v>25</v>
      </c>
      <c r="J583" s="3" t="s">
        <v>30</v>
      </c>
      <c r="K583" s="3" t="s">
        <v>25</v>
      </c>
      <c r="L583" s="5">
        <v>525.0</v>
      </c>
      <c r="M583" s="5">
        <v>317.0</v>
      </c>
      <c r="N583" s="5">
        <v>300.0</v>
      </c>
      <c r="O583" s="5">
        <v>1142.0</v>
      </c>
      <c r="P583" s="6">
        <v>44667.0</v>
      </c>
      <c r="Q583" s="3" t="s">
        <v>31</v>
      </c>
      <c r="R583" s="3" t="s">
        <v>29</v>
      </c>
      <c r="S583" s="5">
        <v>6951.0</v>
      </c>
      <c r="T583" s="3"/>
      <c r="U583" s="3"/>
      <c r="V583" s="3"/>
      <c r="W583" s="3"/>
      <c r="X583" s="3"/>
    </row>
    <row r="584">
      <c r="A584" s="3" t="s">
        <v>1237</v>
      </c>
      <c r="B584" s="3" t="s">
        <v>1238</v>
      </c>
      <c r="C584" s="3" t="s">
        <v>21</v>
      </c>
      <c r="D584" s="3" t="s">
        <v>59</v>
      </c>
      <c r="E584" s="3" t="s">
        <v>1222</v>
      </c>
      <c r="F584" s="3" t="s">
        <v>28</v>
      </c>
      <c r="G584" s="3" t="s">
        <v>29</v>
      </c>
      <c r="H584" s="3" t="s">
        <v>30</v>
      </c>
      <c r="I584" s="3" t="s">
        <v>25</v>
      </c>
      <c r="J584" s="3" t="s">
        <v>30</v>
      </c>
      <c r="K584" s="3" t="s">
        <v>25</v>
      </c>
      <c r="L584" s="5">
        <v>505.0</v>
      </c>
      <c r="M584" s="5">
        <v>329.0</v>
      </c>
      <c r="N584" s="5">
        <v>305.0</v>
      </c>
      <c r="O584" s="5">
        <v>1139.0</v>
      </c>
      <c r="P584" s="6">
        <v>44669.0</v>
      </c>
      <c r="Q584" s="3" t="s">
        <v>31</v>
      </c>
      <c r="R584" s="3" t="s">
        <v>29</v>
      </c>
      <c r="S584" s="5">
        <v>1413447.0</v>
      </c>
      <c r="T584" s="3"/>
      <c r="U584" s="3"/>
      <c r="V584" s="3"/>
      <c r="W584" s="3"/>
      <c r="X584" s="3"/>
    </row>
    <row r="585">
      <c r="A585" s="3" t="s">
        <v>1239</v>
      </c>
      <c r="B585" s="3" t="s">
        <v>1240</v>
      </c>
      <c r="C585" s="3" t="s">
        <v>21</v>
      </c>
      <c r="D585" s="3" t="s">
        <v>59</v>
      </c>
      <c r="E585" s="3" t="s">
        <v>1222</v>
      </c>
      <c r="F585" s="3" t="s">
        <v>28</v>
      </c>
      <c r="G585" s="3" t="s">
        <v>29</v>
      </c>
      <c r="H585" s="3" t="s">
        <v>30</v>
      </c>
      <c r="I585" s="3" t="s">
        <v>25</v>
      </c>
      <c r="J585" s="3" t="s">
        <v>30</v>
      </c>
      <c r="K585" s="3" t="s">
        <v>25</v>
      </c>
      <c r="L585" s="5">
        <v>505.0</v>
      </c>
      <c r="M585" s="5">
        <v>304.0</v>
      </c>
      <c r="N585" s="5">
        <v>300.0</v>
      </c>
      <c r="O585" s="5">
        <v>1109.0</v>
      </c>
      <c r="P585" s="6">
        <v>44722.0</v>
      </c>
      <c r="Q585" s="3" t="s">
        <v>31</v>
      </c>
      <c r="R585" s="3" t="s">
        <v>29</v>
      </c>
      <c r="S585" s="5">
        <v>1451809.0</v>
      </c>
      <c r="T585" s="3"/>
      <c r="U585" s="3"/>
      <c r="V585" s="3"/>
      <c r="W585" s="3"/>
      <c r="X585" s="3"/>
    </row>
    <row r="586">
      <c r="A586" s="3" t="s">
        <v>1241</v>
      </c>
      <c r="B586" s="3" t="s">
        <v>1242</v>
      </c>
      <c r="C586" s="3" t="s">
        <v>21</v>
      </c>
      <c r="D586" s="3" t="s">
        <v>59</v>
      </c>
      <c r="E586" s="3" t="s">
        <v>1222</v>
      </c>
      <c r="F586" s="3" t="s">
        <v>28</v>
      </c>
      <c r="G586" s="3" t="s">
        <v>29</v>
      </c>
      <c r="H586" s="3" t="s">
        <v>30</v>
      </c>
      <c r="I586" s="3" t="s">
        <v>25</v>
      </c>
      <c r="J586" s="3" t="s">
        <v>24</v>
      </c>
      <c r="K586" s="3" t="s">
        <v>25</v>
      </c>
      <c r="L586" s="5">
        <v>542.0</v>
      </c>
      <c r="M586" s="5">
        <v>314.0</v>
      </c>
      <c r="N586" s="5">
        <v>250.0</v>
      </c>
      <c r="O586" s="5">
        <v>1106.0</v>
      </c>
      <c r="P586" s="6">
        <v>44722.0</v>
      </c>
      <c r="Q586" s="3" t="s">
        <v>31</v>
      </c>
      <c r="R586" s="3" t="s">
        <v>29</v>
      </c>
      <c r="S586" s="5">
        <v>866291.0</v>
      </c>
      <c r="T586" s="3"/>
      <c r="U586" s="3"/>
      <c r="V586" s="3"/>
      <c r="W586" s="3"/>
      <c r="X586" s="3"/>
    </row>
    <row r="587">
      <c r="A587" s="3" t="s">
        <v>1243</v>
      </c>
      <c r="B587" s="3" t="s">
        <v>1244</v>
      </c>
      <c r="C587" s="3" t="s">
        <v>21</v>
      </c>
      <c r="D587" s="3" t="s">
        <v>59</v>
      </c>
      <c r="E587" s="3" t="s">
        <v>1222</v>
      </c>
      <c r="F587" s="3" t="s">
        <v>28</v>
      </c>
      <c r="G587" s="3" t="s">
        <v>29</v>
      </c>
      <c r="H587" s="3" t="s">
        <v>30</v>
      </c>
      <c r="I587" s="3" t="s">
        <v>25</v>
      </c>
      <c r="J587" s="3" t="s">
        <v>30</v>
      </c>
      <c r="K587" s="3" t="s">
        <v>25</v>
      </c>
      <c r="L587" s="5">
        <v>500.0</v>
      </c>
      <c r="M587" s="5">
        <v>300.0</v>
      </c>
      <c r="N587" s="5">
        <v>300.0</v>
      </c>
      <c r="O587" s="5">
        <v>1100.0</v>
      </c>
      <c r="P587" s="6">
        <v>44669.0</v>
      </c>
      <c r="Q587" s="3" t="s">
        <v>31</v>
      </c>
      <c r="R587" s="3" t="s">
        <v>29</v>
      </c>
      <c r="S587" s="5">
        <v>827054.0</v>
      </c>
      <c r="T587" s="3"/>
      <c r="U587" s="3"/>
      <c r="V587" s="3"/>
      <c r="W587" s="3"/>
      <c r="X587" s="3"/>
    </row>
    <row r="588">
      <c r="A588" s="3" t="s">
        <v>1245</v>
      </c>
      <c r="B588" s="3" t="s">
        <v>1246</v>
      </c>
      <c r="C588" s="3" t="s">
        <v>21</v>
      </c>
      <c r="D588" s="3" t="s">
        <v>59</v>
      </c>
      <c r="E588" s="3" t="s">
        <v>1222</v>
      </c>
      <c r="F588" s="3" t="s">
        <v>28</v>
      </c>
      <c r="G588" s="3" t="s">
        <v>29</v>
      </c>
      <c r="H588" s="3" t="s">
        <v>30</v>
      </c>
      <c r="I588" s="3" t="s">
        <v>25</v>
      </c>
      <c r="J588" s="3" t="s">
        <v>30</v>
      </c>
      <c r="K588" s="3" t="s">
        <v>25</v>
      </c>
      <c r="L588" s="5">
        <v>500.0</v>
      </c>
      <c r="M588" s="5">
        <v>300.0</v>
      </c>
      <c r="N588" s="5">
        <v>300.0</v>
      </c>
      <c r="O588" s="5">
        <v>1100.0</v>
      </c>
      <c r="P588" s="6">
        <v>44670.0</v>
      </c>
      <c r="Q588" s="3" t="s">
        <v>31</v>
      </c>
      <c r="R588" s="3" t="s">
        <v>29</v>
      </c>
      <c r="S588" s="5">
        <v>97476.0</v>
      </c>
      <c r="T588" s="3"/>
      <c r="U588" s="3"/>
      <c r="V588" s="3"/>
      <c r="W588" s="3"/>
      <c r="X588" s="3"/>
    </row>
    <row r="589">
      <c r="A589" s="3" t="s">
        <v>1247</v>
      </c>
      <c r="B589" s="3" t="s">
        <v>1248</v>
      </c>
      <c r="C589" s="3" t="s">
        <v>21</v>
      </c>
      <c r="D589" s="3" t="s">
        <v>59</v>
      </c>
      <c r="E589" s="3" t="s">
        <v>1222</v>
      </c>
      <c r="F589" s="3" t="s">
        <v>28</v>
      </c>
      <c r="G589" s="3" t="s">
        <v>29</v>
      </c>
      <c r="H589" s="3" t="s">
        <v>30</v>
      </c>
      <c r="I589" s="3" t="s">
        <v>25</v>
      </c>
      <c r="J589" s="3" t="s">
        <v>24</v>
      </c>
      <c r="K589" s="3" t="s">
        <v>25</v>
      </c>
      <c r="L589" s="5">
        <v>515.0</v>
      </c>
      <c r="M589" s="5">
        <v>303.0</v>
      </c>
      <c r="N589" s="5">
        <v>270.0</v>
      </c>
      <c r="O589" s="5">
        <v>1088.0</v>
      </c>
      <c r="P589" s="6">
        <v>44670.0</v>
      </c>
      <c r="Q589" s="3" t="s">
        <v>31</v>
      </c>
      <c r="R589" s="3" t="s">
        <v>29</v>
      </c>
      <c r="S589" s="5">
        <v>4127.0</v>
      </c>
      <c r="T589" s="3"/>
      <c r="U589" s="3"/>
      <c r="V589" s="3"/>
      <c r="W589" s="3"/>
      <c r="X589" s="3"/>
    </row>
    <row r="590">
      <c r="A590" s="3" t="s">
        <v>1249</v>
      </c>
      <c r="B590" s="3" t="s">
        <v>1250</v>
      </c>
      <c r="C590" s="3" t="s">
        <v>21</v>
      </c>
      <c r="D590" s="3" t="s">
        <v>59</v>
      </c>
      <c r="E590" s="3" t="s">
        <v>1222</v>
      </c>
      <c r="F590" s="3" t="s">
        <v>28</v>
      </c>
      <c r="G590" s="3" t="s">
        <v>29</v>
      </c>
      <c r="H590" s="3" t="s">
        <v>30</v>
      </c>
      <c r="I590" s="3" t="s">
        <v>25</v>
      </c>
      <c r="J590" s="3" t="s">
        <v>24</v>
      </c>
      <c r="K590" s="3" t="s">
        <v>25</v>
      </c>
      <c r="L590" s="5">
        <v>515.0</v>
      </c>
      <c r="M590" s="5">
        <v>306.0</v>
      </c>
      <c r="N590" s="5">
        <v>260.0</v>
      </c>
      <c r="O590" s="5">
        <v>1081.0</v>
      </c>
      <c r="P590" s="6">
        <v>44667.0</v>
      </c>
      <c r="Q590" s="3" t="s">
        <v>31</v>
      </c>
      <c r="R590" s="3" t="s">
        <v>29</v>
      </c>
      <c r="S590" s="5">
        <v>1113232.0</v>
      </c>
      <c r="T590" s="3"/>
      <c r="U590" s="3"/>
      <c r="V590" s="3"/>
      <c r="W590" s="3"/>
      <c r="X590" s="3"/>
    </row>
    <row r="591">
      <c r="A591" s="3" t="s">
        <v>1251</v>
      </c>
      <c r="B591" s="3" t="s">
        <v>1252</v>
      </c>
      <c r="C591" s="3" t="s">
        <v>21</v>
      </c>
      <c r="D591" s="3" t="s">
        <v>59</v>
      </c>
      <c r="E591" s="3" t="s">
        <v>1222</v>
      </c>
      <c r="F591" s="3" t="s">
        <v>31</v>
      </c>
      <c r="G591" s="3" t="s">
        <v>29</v>
      </c>
      <c r="H591" s="3" t="s">
        <v>30</v>
      </c>
      <c r="I591" s="3" t="s">
        <v>25</v>
      </c>
      <c r="J591" s="3" t="s">
        <v>30</v>
      </c>
      <c r="K591" s="3" t="s">
        <v>25</v>
      </c>
      <c r="L591" s="5">
        <v>409.0</v>
      </c>
      <c r="M591" s="5">
        <v>300.0</v>
      </c>
      <c r="N591" s="5">
        <v>300.0</v>
      </c>
      <c r="O591" s="5">
        <v>1009.0</v>
      </c>
      <c r="P591" s="6">
        <v>44670.0</v>
      </c>
      <c r="Q591" s="3" t="s">
        <v>31</v>
      </c>
      <c r="R591" s="3" t="s">
        <v>29</v>
      </c>
      <c r="S591" s="5">
        <v>804328.0</v>
      </c>
      <c r="T591" s="3"/>
      <c r="U591" s="3"/>
      <c r="V591" s="3"/>
      <c r="W591" s="3"/>
      <c r="X591" s="3"/>
    </row>
    <row r="592">
      <c r="A592" s="3" t="s">
        <v>1253</v>
      </c>
      <c r="B592" s="3" t="s">
        <v>1254</v>
      </c>
      <c r="C592" s="3" t="s">
        <v>21</v>
      </c>
      <c r="D592" s="3" t="s">
        <v>59</v>
      </c>
      <c r="E592" s="3" t="s">
        <v>1222</v>
      </c>
      <c r="F592" s="3" t="s">
        <v>30</v>
      </c>
      <c r="G592" s="3" t="s">
        <v>25</v>
      </c>
      <c r="H592" s="3" t="s">
        <v>30</v>
      </c>
      <c r="I592" s="3" t="s">
        <v>25</v>
      </c>
      <c r="J592" s="3" t="s">
        <v>30</v>
      </c>
      <c r="K592" s="3" t="s">
        <v>25</v>
      </c>
      <c r="L592" s="5">
        <v>350.0</v>
      </c>
      <c r="M592" s="5">
        <v>318.0</v>
      </c>
      <c r="N592" s="5">
        <v>300.0</v>
      </c>
      <c r="O592" s="5">
        <v>968.0</v>
      </c>
      <c r="P592" s="6">
        <v>44667.0</v>
      </c>
      <c r="Q592" s="3" t="s">
        <v>31</v>
      </c>
      <c r="R592" s="3" t="s">
        <v>29</v>
      </c>
      <c r="S592" s="5">
        <v>6281.0</v>
      </c>
      <c r="T592" s="3"/>
      <c r="U592" s="3"/>
      <c r="V592" s="3"/>
      <c r="W592" s="3"/>
      <c r="X592" s="3"/>
    </row>
    <row r="593">
      <c r="A593" s="3" t="s">
        <v>1255</v>
      </c>
      <c r="B593" s="3" t="s">
        <v>1256</v>
      </c>
      <c r="C593" s="3" t="s">
        <v>21</v>
      </c>
      <c r="D593" s="3" t="s">
        <v>59</v>
      </c>
      <c r="E593" s="3" t="s">
        <v>1222</v>
      </c>
      <c r="F593" s="3" t="s">
        <v>31</v>
      </c>
      <c r="G593" s="3" t="s">
        <v>29</v>
      </c>
      <c r="H593" s="3" t="s">
        <v>24</v>
      </c>
      <c r="I593" s="3" t="s">
        <v>25</v>
      </c>
      <c r="J593" s="3" t="s">
        <v>30</v>
      </c>
      <c r="K593" s="3" t="s">
        <v>25</v>
      </c>
      <c r="L593" s="5">
        <v>410.0</v>
      </c>
      <c r="M593" s="5">
        <v>232.0</v>
      </c>
      <c r="N593" s="5">
        <v>325.0</v>
      </c>
      <c r="O593" s="5">
        <v>967.0</v>
      </c>
      <c r="P593" s="6">
        <v>44722.0</v>
      </c>
      <c r="Q593" s="3" t="s">
        <v>31</v>
      </c>
      <c r="R593" s="3" t="s">
        <v>29</v>
      </c>
      <c r="S593" s="5">
        <v>1680062.0</v>
      </c>
      <c r="T593" s="3"/>
      <c r="U593" s="3"/>
      <c r="V593" s="3"/>
      <c r="W593" s="3"/>
      <c r="X593" s="3"/>
    </row>
    <row r="594">
      <c r="A594" s="3" t="s">
        <v>1257</v>
      </c>
      <c r="B594" s="3" t="s">
        <v>1258</v>
      </c>
      <c r="C594" s="3" t="s">
        <v>21</v>
      </c>
      <c r="D594" s="3" t="s">
        <v>59</v>
      </c>
      <c r="E594" s="3" t="s">
        <v>1222</v>
      </c>
      <c r="F594" s="3" t="s">
        <v>30</v>
      </c>
      <c r="G594" s="3" t="s">
        <v>25</v>
      </c>
      <c r="H594" s="3" t="s">
        <v>30</v>
      </c>
      <c r="I594" s="3" t="s">
        <v>25</v>
      </c>
      <c r="J594" s="3" t="s">
        <v>24</v>
      </c>
      <c r="K594" s="3" t="s">
        <v>25</v>
      </c>
      <c r="L594" s="5">
        <v>377.0</v>
      </c>
      <c r="M594" s="5">
        <v>309.0</v>
      </c>
      <c r="N594" s="5">
        <v>255.0</v>
      </c>
      <c r="O594" s="5">
        <v>941.0</v>
      </c>
      <c r="P594" s="6">
        <v>44669.0</v>
      </c>
      <c r="Q594" s="3" t="s">
        <v>31</v>
      </c>
      <c r="R594" s="3" t="s">
        <v>29</v>
      </c>
      <c r="S594" s="5">
        <v>1493594.0</v>
      </c>
      <c r="T594" s="3"/>
      <c r="U594" s="3"/>
      <c r="V594" s="3"/>
      <c r="W594" s="3"/>
      <c r="X594" s="3"/>
    </row>
    <row r="595">
      <c r="A595" s="3" t="s">
        <v>1259</v>
      </c>
      <c r="B595" s="3" t="s">
        <v>1260</v>
      </c>
      <c r="C595" s="3" t="s">
        <v>21</v>
      </c>
      <c r="D595" s="3" t="s">
        <v>59</v>
      </c>
      <c r="E595" s="3" t="s">
        <v>1222</v>
      </c>
      <c r="F595" s="3" t="s">
        <v>30</v>
      </c>
      <c r="G595" s="3" t="s">
        <v>25</v>
      </c>
      <c r="H595" s="3" t="s">
        <v>30</v>
      </c>
      <c r="I595" s="3" t="s">
        <v>25</v>
      </c>
      <c r="J595" s="3" t="s">
        <v>24</v>
      </c>
      <c r="K595" s="3" t="s">
        <v>25</v>
      </c>
      <c r="L595" s="5">
        <v>323.0</v>
      </c>
      <c r="M595" s="5">
        <v>301.0</v>
      </c>
      <c r="N595" s="5">
        <v>275.0</v>
      </c>
      <c r="O595" s="5">
        <v>899.0</v>
      </c>
      <c r="P595" s="6">
        <v>44669.0</v>
      </c>
      <c r="Q595" s="3" t="s">
        <v>30</v>
      </c>
      <c r="R595" s="3" t="s">
        <v>25</v>
      </c>
      <c r="S595" s="5">
        <v>1045810.0</v>
      </c>
      <c r="T595" s="3"/>
      <c r="U595" s="3"/>
      <c r="V595" s="3"/>
      <c r="W595" s="3"/>
      <c r="X595" s="3"/>
    </row>
    <row r="596">
      <c r="A596" s="3" t="s">
        <v>1261</v>
      </c>
      <c r="B596" s="3" t="s">
        <v>1262</v>
      </c>
      <c r="C596" s="3" t="s">
        <v>21</v>
      </c>
      <c r="D596" s="3" t="s">
        <v>59</v>
      </c>
      <c r="E596" s="3" t="s">
        <v>1222</v>
      </c>
      <c r="F596" s="3" t="s">
        <v>24</v>
      </c>
      <c r="G596" s="3" t="s">
        <v>25</v>
      </c>
      <c r="H596" s="3" t="s">
        <v>24</v>
      </c>
      <c r="I596" s="3" t="s">
        <v>25</v>
      </c>
      <c r="J596" s="3" t="s">
        <v>30</v>
      </c>
      <c r="K596" s="3" t="s">
        <v>25</v>
      </c>
      <c r="L596" s="5">
        <v>290.0</v>
      </c>
      <c r="M596" s="5">
        <v>262.0</v>
      </c>
      <c r="N596" s="5">
        <v>300.0</v>
      </c>
      <c r="O596" s="5">
        <v>852.0</v>
      </c>
      <c r="P596" s="6">
        <v>44667.0</v>
      </c>
      <c r="Q596" s="3" t="s">
        <v>30</v>
      </c>
      <c r="R596" s="3" t="s">
        <v>25</v>
      </c>
      <c r="S596" s="5">
        <v>1040470.0</v>
      </c>
      <c r="T596" s="3"/>
      <c r="U596" s="3"/>
      <c r="V596" s="3"/>
      <c r="W596" s="3"/>
      <c r="X596" s="3"/>
    </row>
    <row r="597">
      <c r="A597" s="3" t="s">
        <v>1263</v>
      </c>
      <c r="B597" s="3" t="s">
        <v>1264</v>
      </c>
      <c r="C597" s="3" t="s">
        <v>21</v>
      </c>
      <c r="D597" s="3" t="s">
        <v>59</v>
      </c>
      <c r="E597" s="3" t="s">
        <v>1222</v>
      </c>
      <c r="F597" s="3" t="s">
        <v>30</v>
      </c>
      <c r="G597" s="3" t="s">
        <v>25</v>
      </c>
      <c r="H597" s="3" t="s">
        <v>24</v>
      </c>
      <c r="I597" s="3" t="s">
        <v>25</v>
      </c>
      <c r="J597" s="3" t="s">
        <v>24</v>
      </c>
      <c r="K597" s="3" t="s">
        <v>25</v>
      </c>
      <c r="L597" s="5">
        <v>330.0</v>
      </c>
      <c r="M597" s="5">
        <v>287.0</v>
      </c>
      <c r="N597" s="5">
        <v>235.0</v>
      </c>
      <c r="O597" s="5">
        <v>852.0</v>
      </c>
      <c r="P597" s="6">
        <v>44669.0</v>
      </c>
      <c r="Q597" s="3" t="s">
        <v>30</v>
      </c>
      <c r="R597" s="3" t="s">
        <v>25</v>
      </c>
      <c r="S597" s="5">
        <v>1280452.0</v>
      </c>
      <c r="T597" s="3"/>
      <c r="U597" s="3"/>
      <c r="V597" s="3"/>
      <c r="W597" s="3"/>
      <c r="X597" s="3"/>
    </row>
    <row r="598">
      <c r="A598" s="3" t="s">
        <v>1265</v>
      </c>
      <c r="B598" s="3" t="s">
        <v>1266</v>
      </c>
      <c r="C598" s="3" t="s">
        <v>21</v>
      </c>
      <c r="D598" s="3" t="s">
        <v>59</v>
      </c>
      <c r="E598" s="3" t="s">
        <v>1222</v>
      </c>
      <c r="F598" s="3" t="s">
        <v>24</v>
      </c>
      <c r="G598" s="3" t="s">
        <v>25</v>
      </c>
      <c r="H598" s="3" t="s">
        <v>24</v>
      </c>
      <c r="I598" s="3" t="s">
        <v>25</v>
      </c>
      <c r="J598" s="3" t="s">
        <v>24</v>
      </c>
      <c r="K598" s="3" t="s">
        <v>25</v>
      </c>
      <c r="L598" s="5">
        <v>210.0</v>
      </c>
      <c r="M598" s="5">
        <v>212.0</v>
      </c>
      <c r="N598" s="5">
        <v>200.0</v>
      </c>
      <c r="O598" s="5">
        <v>622.0</v>
      </c>
      <c r="P598" s="6">
        <v>44667.0</v>
      </c>
      <c r="Q598" s="3" t="s">
        <v>24</v>
      </c>
      <c r="R598" s="3" t="s">
        <v>25</v>
      </c>
      <c r="S598" s="5">
        <v>1730168.0</v>
      </c>
      <c r="T598" s="3"/>
      <c r="U598" s="3"/>
      <c r="V598" s="3"/>
      <c r="W598" s="3"/>
      <c r="X598" s="3"/>
    </row>
    <row r="599">
      <c r="A599" s="3" t="s">
        <v>1267</v>
      </c>
      <c r="B599" s="3" t="s">
        <v>1268</v>
      </c>
      <c r="C599" s="3" t="s">
        <v>21</v>
      </c>
      <c r="D599" s="3" t="s">
        <v>59</v>
      </c>
      <c r="E599" s="3" t="s">
        <v>1222</v>
      </c>
      <c r="F599" s="3" t="s">
        <v>24</v>
      </c>
      <c r="G599" s="3" t="s">
        <v>25</v>
      </c>
      <c r="H599" s="3" t="s">
        <v>24</v>
      </c>
      <c r="I599" s="3" t="s">
        <v>25</v>
      </c>
      <c r="J599" s="3" t="s">
        <v>24</v>
      </c>
      <c r="K599" s="3" t="s">
        <v>25</v>
      </c>
      <c r="L599" s="5">
        <v>200.0</v>
      </c>
      <c r="M599" s="5">
        <v>208.0</v>
      </c>
      <c r="N599" s="5">
        <v>200.0</v>
      </c>
      <c r="O599" s="5">
        <v>608.0</v>
      </c>
      <c r="P599" s="6">
        <v>44667.0</v>
      </c>
      <c r="Q599" s="3" t="s">
        <v>24</v>
      </c>
      <c r="R599" s="3" t="s">
        <v>25</v>
      </c>
      <c r="S599" s="5">
        <v>2488.0</v>
      </c>
      <c r="T599" s="3"/>
      <c r="U599" s="3"/>
      <c r="V599" s="3"/>
      <c r="W599" s="3"/>
      <c r="X599" s="3"/>
    </row>
    <row r="600">
      <c r="A600" s="3" t="s">
        <v>1269</v>
      </c>
      <c r="B600" s="3" t="s">
        <v>1270</v>
      </c>
      <c r="C600" s="3" t="s">
        <v>21</v>
      </c>
      <c r="D600" s="3" t="s">
        <v>59</v>
      </c>
      <c r="E600" s="3" t="s">
        <v>1271</v>
      </c>
      <c r="F600" s="3" t="s">
        <v>147</v>
      </c>
      <c r="G600" s="3" t="s">
        <v>148</v>
      </c>
      <c r="H600" s="3" t="s">
        <v>31</v>
      </c>
      <c r="I600" s="3" t="s">
        <v>29</v>
      </c>
      <c r="J600" s="3" t="s">
        <v>30</v>
      </c>
      <c r="K600" s="3" t="s">
        <v>25</v>
      </c>
      <c r="L600" s="5">
        <v>715.0</v>
      </c>
      <c r="M600" s="5">
        <v>443.0</v>
      </c>
      <c r="N600" s="5">
        <v>375.0</v>
      </c>
      <c r="O600" s="5">
        <v>1533.0</v>
      </c>
      <c r="P600" s="6">
        <v>44678.0</v>
      </c>
      <c r="Q600" s="3" t="s">
        <v>28</v>
      </c>
      <c r="R600" s="3" t="s">
        <v>29</v>
      </c>
      <c r="S600" s="5">
        <v>789019.0</v>
      </c>
      <c r="T600" s="3"/>
      <c r="U600" s="3"/>
      <c r="V600" s="3"/>
      <c r="W600" s="3"/>
      <c r="X600" s="3"/>
    </row>
    <row r="601">
      <c r="A601" s="3" t="s">
        <v>1272</v>
      </c>
      <c r="B601" s="3" t="s">
        <v>1273</v>
      </c>
      <c r="C601" s="3" t="s">
        <v>21</v>
      </c>
      <c r="D601" s="3" t="s">
        <v>22</v>
      </c>
      <c r="E601" s="3" t="s">
        <v>1271</v>
      </c>
      <c r="F601" s="3" t="s">
        <v>28</v>
      </c>
      <c r="G601" s="3" t="s">
        <v>29</v>
      </c>
      <c r="H601" s="3" t="s">
        <v>30</v>
      </c>
      <c r="I601" s="3" t="s">
        <v>25</v>
      </c>
      <c r="J601" s="3" t="s">
        <v>30</v>
      </c>
      <c r="K601" s="3" t="s">
        <v>25</v>
      </c>
      <c r="L601" s="5">
        <v>550.0</v>
      </c>
      <c r="M601" s="5">
        <v>374.0</v>
      </c>
      <c r="N601" s="5">
        <v>350.0</v>
      </c>
      <c r="O601" s="5">
        <v>1274.0</v>
      </c>
      <c r="P601" s="6">
        <v>44670.0</v>
      </c>
      <c r="Q601" s="3" t="s">
        <v>28</v>
      </c>
      <c r="R601" s="3" t="s">
        <v>29</v>
      </c>
      <c r="S601" s="5">
        <v>1373715.0</v>
      </c>
      <c r="T601" s="3"/>
      <c r="U601" s="3"/>
      <c r="V601" s="3"/>
      <c r="W601" s="3"/>
      <c r="X601" s="3"/>
    </row>
    <row r="602">
      <c r="A602" s="3" t="s">
        <v>1274</v>
      </c>
      <c r="B602" s="3" t="s">
        <v>1275</v>
      </c>
      <c r="C602" s="3" t="s">
        <v>21</v>
      </c>
      <c r="D602" s="3" t="s">
        <v>59</v>
      </c>
      <c r="E602" s="3" t="s">
        <v>1271</v>
      </c>
      <c r="F602" s="3" t="s">
        <v>147</v>
      </c>
      <c r="G602" s="3" t="s">
        <v>148</v>
      </c>
      <c r="H602" s="3" t="s">
        <v>30</v>
      </c>
      <c r="I602" s="3" t="s">
        <v>25</v>
      </c>
      <c r="J602" s="3" t="s">
        <v>30</v>
      </c>
      <c r="K602" s="3" t="s">
        <v>25</v>
      </c>
      <c r="L602" s="5">
        <v>605.0</v>
      </c>
      <c r="M602" s="5">
        <v>365.0</v>
      </c>
      <c r="N602" s="5">
        <v>300.0</v>
      </c>
      <c r="O602" s="5">
        <v>1270.0</v>
      </c>
      <c r="P602" s="6">
        <v>44667.0</v>
      </c>
      <c r="Q602" s="3" t="s">
        <v>28</v>
      </c>
      <c r="R602" s="3" t="s">
        <v>29</v>
      </c>
      <c r="S602" s="5">
        <v>1058290.0</v>
      </c>
      <c r="T602" s="3"/>
      <c r="U602" s="3"/>
      <c r="V602" s="3"/>
      <c r="W602" s="3"/>
      <c r="X602" s="3"/>
    </row>
    <row r="603">
      <c r="A603" s="3" t="s">
        <v>1276</v>
      </c>
      <c r="B603" s="3" t="s">
        <v>1277</v>
      </c>
      <c r="C603" s="3" t="s">
        <v>21</v>
      </c>
      <c r="D603" s="3" t="s">
        <v>22</v>
      </c>
      <c r="E603" s="3" t="s">
        <v>1271</v>
      </c>
      <c r="F603" s="3" t="s">
        <v>28</v>
      </c>
      <c r="G603" s="3" t="s">
        <v>29</v>
      </c>
      <c r="H603" s="3" t="s">
        <v>30</v>
      </c>
      <c r="I603" s="3" t="s">
        <v>25</v>
      </c>
      <c r="J603" s="3" t="s">
        <v>30</v>
      </c>
      <c r="K603" s="3" t="s">
        <v>25</v>
      </c>
      <c r="L603" s="5">
        <v>570.0</v>
      </c>
      <c r="M603" s="5">
        <v>350.0</v>
      </c>
      <c r="N603" s="5">
        <v>340.0</v>
      </c>
      <c r="O603" s="5">
        <v>1260.0</v>
      </c>
      <c r="P603" s="6">
        <v>44670.0</v>
      </c>
      <c r="Q603" s="3" t="s">
        <v>28</v>
      </c>
      <c r="R603" s="3" t="s">
        <v>29</v>
      </c>
      <c r="S603" s="5">
        <v>882835.0</v>
      </c>
      <c r="T603" s="3"/>
      <c r="U603" s="3"/>
      <c r="V603" s="3"/>
      <c r="W603" s="3"/>
      <c r="X603" s="3"/>
    </row>
    <row r="604">
      <c r="A604" s="3" t="s">
        <v>1278</v>
      </c>
      <c r="B604" s="3" t="s">
        <v>1279</v>
      </c>
      <c r="C604" s="3" t="s">
        <v>21</v>
      </c>
      <c r="D604" s="3" t="s">
        <v>59</v>
      </c>
      <c r="E604" s="3" t="s">
        <v>1271</v>
      </c>
      <c r="F604" s="3" t="s">
        <v>28</v>
      </c>
      <c r="G604" s="3" t="s">
        <v>29</v>
      </c>
      <c r="H604" s="3" t="s">
        <v>30</v>
      </c>
      <c r="I604" s="3" t="s">
        <v>25</v>
      </c>
      <c r="J604" s="3" t="s">
        <v>30</v>
      </c>
      <c r="K604" s="3" t="s">
        <v>25</v>
      </c>
      <c r="L604" s="5">
        <v>545.0</v>
      </c>
      <c r="M604" s="5">
        <v>359.0</v>
      </c>
      <c r="N604" s="5">
        <v>325.0</v>
      </c>
      <c r="O604" s="5">
        <v>1229.0</v>
      </c>
      <c r="P604" s="6">
        <v>44669.0</v>
      </c>
      <c r="Q604" s="3" t="s">
        <v>28</v>
      </c>
      <c r="R604" s="3" t="s">
        <v>29</v>
      </c>
      <c r="S604" s="5">
        <v>1002047.0</v>
      </c>
      <c r="T604" s="3"/>
      <c r="U604" s="3"/>
      <c r="V604" s="3"/>
      <c r="W604" s="3"/>
      <c r="X604" s="3"/>
    </row>
    <row r="605">
      <c r="A605" s="3" t="s">
        <v>1280</v>
      </c>
      <c r="B605" s="3" t="s">
        <v>1281</v>
      </c>
      <c r="C605" s="3" t="s">
        <v>21</v>
      </c>
      <c r="D605" s="3" t="s">
        <v>22</v>
      </c>
      <c r="E605" s="3" t="s">
        <v>1271</v>
      </c>
      <c r="F605" s="3" t="s">
        <v>28</v>
      </c>
      <c r="G605" s="3" t="s">
        <v>29</v>
      </c>
      <c r="H605" s="3" t="s">
        <v>30</v>
      </c>
      <c r="I605" s="3" t="s">
        <v>25</v>
      </c>
      <c r="J605" s="3" t="s">
        <v>30</v>
      </c>
      <c r="K605" s="3" t="s">
        <v>25</v>
      </c>
      <c r="L605" s="5">
        <v>530.0</v>
      </c>
      <c r="M605" s="5">
        <v>379.0</v>
      </c>
      <c r="N605" s="5">
        <v>320.0</v>
      </c>
      <c r="O605" s="5">
        <v>1229.0</v>
      </c>
      <c r="P605" s="6">
        <v>44672.0</v>
      </c>
      <c r="Q605" s="3" t="s">
        <v>28</v>
      </c>
      <c r="R605" s="3" t="s">
        <v>29</v>
      </c>
      <c r="S605" s="5">
        <v>1725057.0</v>
      </c>
      <c r="T605" s="3"/>
      <c r="U605" s="3"/>
      <c r="V605" s="3"/>
      <c r="W605" s="3"/>
      <c r="X605" s="3"/>
    </row>
    <row r="606">
      <c r="A606" s="3" t="s">
        <v>1282</v>
      </c>
      <c r="B606" s="3" t="s">
        <v>1283</v>
      </c>
      <c r="C606" s="3" t="s">
        <v>21</v>
      </c>
      <c r="D606" s="3" t="s">
        <v>59</v>
      </c>
      <c r="E606" s="3" t="s">
        <v>1271</v>
      </c>
      <c r="F606" s="3" t="s">
        <v>28</v>
      </c>
      <c r="G606" s="3" t="s">
        <v>29</v>
      </c>
      <c r="H606" s="3" t="s">
        <v>30</v>
      </c>
      <c r="I606" s="3" t="s">
        <v>25</v>
      </c>
      <c r="J606" s="3" t="s">
        <v>30</v>
      </c>
      <c r="K606" s="3" t="s">
        <v>25</v>
      </c>
      <c r="L606" s="5">
        <v>548.0</v>
      </c>
      <c r="M606" s="5">
        <v>354.0</v>
      </c>
      <c r="N606" s="5">
        <v>325.0</v>
      </c>
      <c r="O606" s="5">
        <v>1227.0</v>
      </c>
      <c r="P606" s="6">
        <v>44670.0</v>
      </c>
      <c r="Q606" s="3" t="s">
        <v>28</v>
      </c>
      <c r="R606" s="3" t="s">
        <v>29</v>
      </c>
      <c r="S606" s="5">
        <v>1014473.0</v>
      </c>
      <c r="T606" s="3"/>
      <c r="U606" s="3"/>
      <c r="V606" s="3"/>
      <c r="W606" s="3"/>
      <c r="X606" s="3"/>
    </row>
    <row r="607">
      <c r="A607" s="3" t="s">
        <v>1284</v>
      </c>
      <c r="B607" s="3" t="s">
        <v>1285</v>
      </c>
      <c r="C607" s="3" t="s">
        <v>21</v>
      </c>
      <c r="D607" s="3" t="s">
        <v>59</v>
      </c>
      <c r="E607" s="3" t="s">
        <v>1271</v>
      </c>
      <c r="F607" s="3" t="s">
        <v>28</v>
      </c>
      <c r="G607" s="3" t="s">
        <v>29</v>
      </c>
      <c r="H607" s="3" t="s">
        <v>30</v>
      </c>
      <c r="I607" s="3" t="s">
        <v>25</v>
      </c>
      <c r="J607" s="3" t="s">
        <v>30</v>
      </c>
      <c r="K607" s="3" t="s">
        <v>25</v>
      </c>
      <c r="L607" s="5">
        <v>570.0</v>
      </c>
      <c r="M607" s="5">
        <v>326.0</v>
      </c>
      <c r="N607" s="5">
        <v>310.0</v>
      </c>
      <c r="O607" s="5">
        <v>1206.0</v>
      </c>
      <c r="P607" s="6">
        <v>44722.0</v>
      </c>
      <c r="Q607" s="3" t="s">
        <v>28</v>
      </c>
      <c r="R607" s="3" t="s">
        <v>29</v>
      </c>
      <c r="S607" s="5">
        <v>827876.0</v>
      </c>
      <c r="T607" s="3"/>
      <c r="U607" s="3"/>
      <c r="V607" s="3"/>
      <c r="W607" s="3"/>
      <c r="X607" s="3"/>
    </row>
    <row r="608">
      <c r="A608" s="3" t="s">
        <v>1286</v>
      </c>
      <c r="B608" s="3" t="s">
        <v>1287</v>
      </c>
      <c r="C608" s="3" t="s">
        <v>21</v>
      </c>
      <c r="D608" s="3" t="s">
        <v>59</v>
      </c>
      <c r="E608" s="3" t="s">
        <v>1271</v>
      </c>
      <c r="F608" s="3" t="s">
        <v>28</v>
      </c>
      <c r="G608" s="3" t="s">
        <v>29</v>
      </c>
      <c r="H608" s="3" t="s">
        <v>30</v>
      </c>
      <c r="I608" s="3" t="s">
        <v>25</v>
      </c>
      <c r="J608" s="3" t="s">
        <v>24</v>
      </c>
      <c r="K608" s="3" t="s">
        <v>25</v>
      </c>
      <c r="L608" s="5">
        <v>580.0</v>
      </c>
      <c r="M608" s="5">
        <v>337.0</v>
      </c>
      <c r="N608" s="5">
        <v>285.0</v>
      </c>
      <c r="O608" s="5">
        <v>1202.0</v>
      </c>
      <c r="P608" s="6">
        <v>44667.0</v>
      </c>
      <c r="Q608" s="3" t="s">
        <v>28</v>
      </c>
      <c r="R608" s="3" t="s">
        <v>29</v>
      </c>
      <c r="S608" s="5">
        <v>1013462.0</v>
      </c>
      <c r="T608" s="3"/>
      <c r="U608" s="3"/>
      <c r="V608" s="3"/>
      <c r="W608" s="3"/>
      <c r="X608" s="3"/>
    </row>
    <row r="609">
      <c r="A609" s="3" t="s">
        <v>1288</v>
      </c>
      <c r="B609" s="3" t="s">
        <v>1289</v>
      </c>
      <c r="C609" s="3" t="s">
        <v>21</v>
      </c>
      <c r="D609" s="3" t="s">
        <v>22</v>
      </c>
      <c r="E609" s="3" t="s">
        <v>1271</v>
      </c>
      <c r="F609" s="3" t="s">
        <v>28</v>
      </c>
      <c r="G609" s="3" t="s">
        <v>29</v>
      </c>
      <c r="H609" s="3" t="s">
        <v>30</v>
      </c>
      <c r="I609" s="3" t="s">
        <v>25</v>
      </c>
      <c r="J609" s="3" t="s">
        <v>30</v>
      </c>
      <c r="K609" s="3" t="s">
        <v>25</v>
      </c>
      <c r="L609" s="5">
        <v>549.0</v>
      </c>
      <c r="M609" s="5">
        <v>321.0</v>
      </c>
      <c r="N609" s="5">
        <v>330.0</v>
      </c>
      <c r="O609" s="5">
        <v>1200.0</v>
      </c>
      <c r="P609" s="6">
        <v>44872.0</v>
      </c>
      <c r="Q609" s="3" t="s">
        <v>28</v>
      </c>
      <c r="R609" s="3" t="s">
        <v>29</v>
      </c>
      <c r="S609" s="5">
        <v>1528396.0</v>
      </c>
      <c r="T609" s="3"/>
      <c r="U609" s="3"/>
      <c r="V609" s="3"/>
      <c r="W609" s="3"/>
      <c r="X609" s="3"/>
    </row>
    <row r="610">
      <c r="A610" s="3" t="s">
        <v>1290</v>
      </c>
      <c r="B610" s="3" t="s">
        <v>1291</v>
      </c>
      <c r="C610" s="3" t="s">
        <v>21</v>
      </c>
      <c r="D610" s="3" t="s">
        <v>59</v>
      </c>
      <c r="E610" s="3" t="s">
        <v>1271</v>
      </c>
      <c r="F610" s="3" t="s">
        <v>28</v>
      </c>
      <c r="G610" s="3" t="s">
        <v>29</v>
      </c>
      <c r="H610" s="3" t="s">
        <v>30</v>
      </c>
      <c r="I610" s="3" t="s">
        <v>25</v>
      </c>
      <c r="J610" s="3" t="s">
        <v>30</v>
      </c>
      <c r="K610" s="3" t="s">
        <v>25</v>
      </c>
      <c r="L610" s="5">
        <v>540.0</v>
      </c>
      <c r="M610" s="5">
        <v>355.0</v>
      </c>
      <c r="N610" s="5">
        <v>300.0</v>
      </c>
      <c r="O610" s="5">
        <v>1195.0</v>
      </c>
      <c r="P610" s="6">
        <v>44670.0</v>
      </c>
      <c r="Q610" s="3" t="s">
        <v>31</v>
      </c>
      <c r="R610" s="3" t="s">
        <v>29</v>
      </c>
      <c r="S610" s="5">
        <v>1137789.0</v>
      </c>
      <c r="T610" s="3"/>
      <c r="U610" s="3"/>
      <c r="V610" s="3"/>
      <c r="W610" s="3"/>
      <c r="X610" s="3"/>
    </row>
    <row r="611">
      <c r="A611" s="3" t="s">
        <v>1292</v>
      </c>
      <c r="B611" s="3" t="s">
        <v>1293</v>
      </c>
      <c r="C611" s="3" t="s">
        <v>21</v>
      </c>
      <c r="D611" s="3" t="s">
        <v>22</v>
      </c>
      <c r="E611" s="3" t="s">
        <v>1271</v>
      </c>
      <c r="F611" s="3" t="s">
        <v>28</v>
      </c>
      <c r="G611" s="3" t="s">
        <v>29</v>
      </c>
      <c r="H611" s="3" t="s">
        <v>30</v>
      </c>
      <c r="I611" s="3" t="s">
        <v>25</v>
      </c>
      <c r="J611" s="3" t="s">
        <v>30</v>
      </c>
      <c r="K611" s="3" t="s">
        <v>25</v>
      </c>
      <c r="L611" s="5">
        <v>550.0</v>
      </c>
      <c r="M611" s="5">
        <v>313.0</v>
      </c>
      <c r="N611" s="5">
        <v>325.0</v>
      </c>
      <c r="O611" s="5">
        <v>1188.0</v>
      </c>
      <c r="P611" s="6">
        <v>44667.0</v>
      </c>
      <c r="Q611" s="3" t="s">
        <v>31</v>
      </c>
      <c r="R611" s="3" t="s">
        <v>29</v>
      </c>
      <c r="S611" s="5">
        <v>1383312.0</v>
      </c>
      <c r="T611" s="3"/>
      <c r="U611" s="3"/>
      <c r="V611" s="3"/>
      <c r="W611" s="3"/>
      <c r="X611" s="3"/>
    </row>
    <row r="612">
      <c r="A612" s="3" t="s">
        <v>1294</v>
      </c>
      <c r="B612" s="3" t="s">
        <v>1295</v>
      </c>
      <c r="C612" s="3" t="s">
        <v>21</v>
      </c>
      <c r="D612" s="3" t="s">
        <v>22</v>
      </c>
      <c r="E612" s="3" t="s">
        <v>1271</v>
      </c>
      <c r="F612" s="3" t="s">
        <v>28</v>
      </c>
      <c r="G612" s="3" t="s">
        <v>29</v>
      </c>
      <c r="H612" s="3" t="s">
        <v>30</v>
      </c>
      <c r="I612" s="3" t="s">
        <v>25</v>
      </c>
      <c r="J612" s="3" t="s">
        <v>30</v>
      </c>
      <c r="K612" s="3" t="s">
        <v>25</v>
      </c>
      <c r="L612" s="5">
        <v>504.0</v>
      </c>
      <c r="M612" s="5">
        <v>368.0</v>
      </c>
      <c r="N612" s="5">
        <v>310.0</v>
      </c>
      <c r="O612" s="5">
        <v>1182.0</v>
      </c>
      <c r="P612" s="6">
        <v>44670.0</v>
      </c>
      <c r="Q612" s="3" t="s">
        <v>31</v>
      </c>
      <c r="R612" s="3" t="s">
        <v>29</v>
      </c>
      <c r="S612" s="5">
        <v>1403161.0</v>
      </c>
      <c r="T612" s="3"/>
      <c r="U612" s="3"/>
      <c r="V612" s="3"/>
      <c r="W612" s="3"/>
      <c r="X612" s="3"/>
    </row>
    <row r="613">
      <c r="A613" s="3" t="s">
        <v>1296</v>
      </c>
      <c r="B613" s="3" t="s">
        <v>1297</v>
      </c>
      <c r="C613" s="3" t="s">
        <v>21</v>
      </c>
      <c r="D613" s="3" t="s">
        <v>22</v>
      </c>
      <c r="E613" s="3" t="s">
        <v>1271</v>
      </c>
      <c r="F613" s="3" t="s">
        <v>28</v>
      </c>
      <c r="G613" s="3" t="s">
        <v>29</v>
      </c>
      <c r="H613" s="3" t="s">
        <v>30</v>
      </c>
      <c r="I613" s="3" t="s">
        <v>25</v>
      </c>
      <c r="J613" s="3" t="s">
        <v>30</v>
      </c>
      <c r="K613" s="3" t="s">
        <v>25</v>
      </c>
      <c r="L613" s="5">
        <v>515.0</v>
      </c>
      <c r="M613" s="5">
        <v>360.0</v>
      </c>
      <c r="N613" s="5">
        <v>305.0</v>
      </c>
      <c r="O613" s="5">
        <v>1180.0</v>
      </c>
      <c r="P613" s="6">
        <v>44667.0</v>
      </c>
      <c r="Q613" s="3" t="s">
        <v>31</v>
      </c>
      <c r="R613" s="3" t="s">
        <v>29</v>
      </c>
      <c r="S613" s="5">
        <v>1467373.0</v>
      </c>
      <c r="T613" s="3"/>
      <c r="U613" s="3"/>
      <c r="V613" s="3"/>
      <c r="W613" s="3"/>
      <c r="X613" s="3"/>
    </row>
    <row r="614">
      <c r="A614" s="3" t="s">
        <v>1298</v>
      </c>
      <c r="B614" s="3" t="s">
        <v>1299</v>
      </c>
      <c r="C614" s="3" t="s">
        <v>21</v>
      </c>
      <c r="D614" s="3" t="s">
        <v>22</v>
      </c>
      <c r="E614" s="3" t="s">
        <v>1271</v>
      </c>
      <c r="F614" s="3" t="s">
        <v>28</v>
      </c>
      <c r="G614" s="3" t="s">
        <v>29</v>
      </c>
      <c r="H614" s="3" t="s">
        <v>30</v>
      </c>
      <c r="I614" s="3" t="s">
        <v>25</v>
      </c>
      <c r="J614" s="3" t="s">
        <v>30</v>
      </c>
      <c r="K614" s="3" t="s">
        <v>25</v>
      </c>
      <c r="L614" s="5">
        <v>515.0</v>
      </c>
      <c r="M614" s="5">
        <v>338.0</v>
      </c>
      <c r="N614" s="5">
        <v>320.0</v>
      </c>
      <c r="O614" s="5">
        <v>1173.0</v>
      </c>
      <c r="P614" s="6">
        <v>44671.0</v>
      </c>
      <c r="Q614" s="3" t="s">
        <v>31</v>
      </c>
      <c r="R614" s="3" t="s">
        <v>29</v>
      </c>
      <c r="S614" s="5">
        <v>1463172.0</v>
      </c>
      <c r="T614" s="3"/>
      <c r="U614" s="3"/>
      <c r="V614" s="3"/>
      <c r="W614" s="3"/>
      <c r="X614" s="3"/>
    </row>
    <row r="615">
      <c r="A615" s="3" t="s">
        <v>1300</v>
      </c>
      <c r="B615" s="3" t="s">
        <v>1301</v>
      </c>
      <c r="C615" s="3" t="s">
        <v>21</v>
      </c>
      <c r="D615" s="3" t="s">
        <v>59</v>
      </c>
      <c r="E615" s="3" t="s">
        <v>1271</v>
      </c>
      <c r="F615" s="3" t="s">
        <v>28</v>
      </c>
      <c r="G615" s="3" t="s">
        <v>29</v>
      </c>
      <c r="H615" s="3" t="s">
        <v>30</v>
      </c>
      <c r="I615" s="3" t="s">
        <v>25</v>
      </c>
      <c r="J615" s="3" t="s">
        <v>30</v>
      </c>
      <c r="K615" s="3" t="s">
        <v>25</v>
      </c>
      <c r="L615" s="5">
        <v>555.0</v>
      </c>
      <c r="M615" s="5">
        <v>304.0</v>
      </c>
      <c r="N615" s="5">
        <v>310.0</v>
      </c>
      <c r="O615" s="5">
        <v>1169.0</v>
      </c>
      <c r="P615" s="6">
        <v>44667.0</v>
      </c>
      <c r="Q615" s="3" t="s">
        <v>31</v>
      </c>
      <c r="R615" s="3" t="s">
        <v>29</v>
      </c>
      <c r="S615" s="5">
        <v>769397.0</v>
      </c>
      <c r="T615" s="3"/>
      <c r="U615" s="3"/>
      <c r="V615" s="3"/>
      <c r="W615" s="3"/>
      <c r="X615" s="3"/>
    </row>
    <row r="616">
      <c r="A616" s="3" t="s">
        <v>1302</v>
      </c>
      <c r="B616" s="3" t="s">
        <v>1303</v>
      </c>
      <c r="C616" s="3" t="s">
        <v>21</v>
      </c>
      <c r="D616" s="3" t="s">
        <v>59</v>
      </c>
      <c r="E616" s="3" t="s">
        <v>1271</v>
      </c>
      <c r="F616" s="3" t="s">
        <v>28</v>
      </c>
      <c r="G616" s="3" t="s">
        <v>29</v>
      </c>
      <c r="H616" s="3" t="s">
        <v>30</v>
      </c>
      <c r="I616" s="3" t="s">
        <v>25</v>
      </c>
      <c r="J616" s="3" t="s">
        <v>30</v>
      </c>
      <c r="K616" s="3" t="s">
        <v>25</v>
      </c>
      <c r="L616" s="5">
        <v>515.0</v>
      </c>
      <c r="M616" s="5">
        <v>341.0</v>
      </c>
      <c r="N616" s="5">
        <v>305.0</v>
      </c>
      <c r="O616" s="5">
        <v>1161.0</v>
      </c>
      <c r="P616" s="6">
        <v>44667.0</v>
      </c>
      <c r="Q616" s="3" t="s">
        <v>31</v>
      </c>
      <c r="R616" s="3" t="s">
        <v>29</v>
      </c>
      <c r="S616" s="5">
        <v>1086222.0</v>
      </c>
      <c r="T616" s="3"/>
      <c r="U616" s="3"/>
      <c r="V616" s="3"/>
      <c r="W616" s="3"/>
      <c r="X616" s="3"/>
    </row>
    <row r="617">
      <c r="A617" s="3" t="s">
        <v>1304</v>
      </c>
      <c r="B617" s="3" t="s">
        <v>1305</v>
      </c>
      <c r="C617" s="3" t="s">
        <v>21</v>
      </c>
      <c r="D617" s="3" t="s">
        <v>59</v>
      </c>
      <c r="E617" s="3" t="s">
        <v>1271</v>
      </c>
      <c r="F617" s="3" t="s">
        <v>28</v>
      </c>
      <c r="G617" s="3" t="s">
        <v>29</v>
      </c>
      <c r="H617" s="3" t="s">
        <v>30</v>
      </c>
      <c r="I617" s="3" t="s">
        <v>25</v>
      </c>
      <c r="J617" s="3" t="s">
        <v>30</v>
      </c>
      <c r="K617" s="3" t="s">
        <v>25</v>
      </c>
      <c r="L617" s="5">
        <v>550.0</v>
      </c>
      <c r="M617" s="5">
        <v>302.0</v>
      </c>
      <c r="N617" s="5">
        <v>308.0</v>
      </c>
      <c r="O617" s="5">
        <v>1160.0</v>
      </c>
      <c r="P617" s="6">
        <v>44670.0</v>
      </c>
      <c r="Q617" s="3" t="s">
        <v>31</v>
      </c>
      <c r="R617" s="3" t="s">
        <v>29</v>
      </c>
      <c r="S617" s="5">
        <v>857005.0</v>
      </c>
      <c r="T617" s="3"/>
      <c r="U617" s="3"/>
      <c r="V617" s="3"/>
      <c r="W617" s="3"/>
      <c r="X617" s="3"/>
    </row>
    <row r="618">
      <c r="A618" s="3" t="s">
        <v>1306</v>
      </c>
      <c r="B618" s="3" t="s">
        <v>1307</v>
      </c>
      <c r="C618" s="3" t="s">
        <v>21</v>
      </c>
      <c r="D618" s="3" t="s">
        <v>59</v>
      </c>
      <c r="E618" s="3" t="s">
        <v>1271</v>
      </c>
      <c r="F618" s="3" t="s">
        <v>28</v>
      </c>
      <c r="G618" s="3" t="s">
        <v>29</v>
      </c>
      <c r="H618" s="3" t="s">
        <v>30</v>
      </c>
      <c r="I618" s="3" t="s">
        <v>25</v>
      </c>
      <c r="J618" s="3" t="s">
        <v>30</v>
      </c>
      <c r="K618" s="3" t="s">
        <v>25</v>
      </c>
      <c r="L618" s="5">
        <v>525.0</v>
      </c>
      <c r="M618" s="5">
        <v>316.0</v>
      </c>
      <c r="N618" s="5">
        <v>315.0</v>
      </c>
      <c r="O618" s="5">
        <v>1156.0</v>
      </c>
      <c r="P618" s="6">
        <v>44670.0</v>
      </c>
      <c r="Q618" s="3" t="s">
        <v>31</v>
      </c>
      <c r="R618" s="3" t="s">
        <v>29</v>
      </c>
      <c r="S618" s="5">
        <v>883241.0</v>
      </c>
      <c r="T618" s="3"/>
      <c r="U618" s="3"/>
      <c r="V618" s="3"/>
      <c r="W618" s="3"/>
      <c r="X618" s="3"/>
    </row>
    <row r="619">
      <c r="A619" s="3" t="s">
        <v>1308</v>
      </c>
      <c r="B619" s="3" t="s">
        <v>1309</v>
      </c>
      <c r="C619" s="3" t="s">
        <v>21</v>
      </c>
      <c r="D619" s="3" t="s">
        <v>59</v>
      </c>
      <c r="E619" s="3" t="s">
        <v>1271</v>
      </c>
      <c r="F619" s="3" t="s">
        <v>28</v>
      </c>
      <c r="G619" s="3" t="s">
        <v>29</v>
      </c>
      <c r="H619" s="3" t="s">
        <v>30</v>
      </c>
      <c r="I619" s="3" t="s">
        <v>25</v>
      </c>
      <c r="J619" s="3" t="s">
        <v>24</v>
      </c>
      <c r="K619" s="3" t="s">
        <v>25</v>
      </c>
      <c r="L619" s="5">
        <v>545.0</v>
      </c>
      <c r="M619" s="5">
        <v>339.0</v>
      </c>
      <c r="N619" s="5">
        <v>260.0</v>
      </c>
      <c r="O619" s="5">
        <v>1144.0</v>
      </c>
      <c r="P619" s="6">
        <v>44671.0</v>
      </c>
      <c r="Q619" s="3" t="s">
        <v>31</v>
      </c>
      <c r="R619" s="3" t="s">
        <v>29</v>
      </c>
      <c r="S619" s="5">
        <v>106040.0</v>
      </c>
      <c r="T619" s="3"/>
      <c r="U619" s="3"/>
      <c r="V619" s="3"/>
      <c r="W619" s="3"/>
      <c r="X619" s="3"/>
    </row>
    <row r="620">
      <c r="A620" s="3" t="s">
        <v>1310</v>
      </c>
      <c r="B620" s="3" t="s">
        <v>1311</v>
      </c>
      <c r="C620" s="3" t="s">
        <v>21</v>
      </c>
      <c r="D620" s="3" t="s">
        <v>59</v>
      </c>
      <c r="E620" s="3" t="s">
        <v>1271</v>
      </c>
      <c r="F620" s="3" t="s">
        <v>28</v>
      </c>
      <c r="G620" s="3" t="s">
        <v>29</v>
      </c>
      <c r="H620" s="3" t="s">
        <v>30</v>
      </c>
      <c r="I620" s="3" t="s">
        <v>25</v>
      </c>
      <c r="J620" s="3" t="s">
        <v>30</v>
      </c>
      <c r="K620" s="3" t="s">
        <v>25</v>
      </c>
      <c r="L620" s="5">
        <v>508.0</v>
      </c>
      <c r="M620" s="5">
        <v>324.0</v>
      </c>
      <c r="N620" s="5">
        <v>310.0</v>
      </c>
      <c r="O620" s="5">
        <v>1142.0</v>
      </c>
      <c r="P620" s="6">
        <v>44667.0</v>
      </c>
      <c r="Q620" s="3" t="s">
        <v>31</v>
      </c>
      <c r="R620" s="3" t="s">
        <v>29</v>
      </c>
      <c r="S620" s="5">
        <v>1365767.0</v>
      </c>
      <c r="T620" s="3"/>
      <c r="U620" s="3"/>
      <c r="V620" s="3"/>
      <c r="W620" s="3"/>
      <c r="X620" s="3"/>
    </row>
    <row r="621">
      <c r="A621" s="3" t="s">
        <v>1312</v>
      </c>
      <c r="B621" s="3" t="s">
        <v>1313</v>
      </c>
      <c r="C621" s="3" t="s">
        <v>21</v>
      </c>
      <c r="D621" s="3" t="s">
        <v>59</v>
      </c>
      <c r="E621" s="3" t="s">
        <v>1271</v>
      </c>
      <c r="F621" s="3" t="s">
        <v>28</v>
      </c>
      <c r="G621" s="3" t="s">
        <v>29</v>
      </c>
      <c r="H621" s="3" t="s">
        <v>30</v>
      </c>
      <c r="I621" s="3" t="s">
        <v>25</v>
      </c>
      <c r="J621" s="3" t="s">
        <v>30</v>
      </c>
      <c r="K621" s="3" t="s">
        <v>25</v>
      </c>
      <c r="L621" s="5">
        <v>530.0</v>
      </c>
      <c r="M621" s="5">
        <v>305.0</v>
      </c>
      <c r="N621" s="5">
        <v>305.0</v>
      </c>
      <c r="O621" s="5">
        <v>1140.0</v>
      </c>
      <c r="P621" s="6">
        <v>44667.0</v>
      </c>
      <c r="Q621" s="3" t="s">
        <v>31</v>
      </c>
      <c r="R621" s="3" t="s">
        <v>29</v>
      </c>
      <c r="S621" s="5">
        <v>877890.0</v>
      </c>
      <c r="T621" s="3"/>
      <c r="U621" s="3"/>
      <c r="V621" s="3"/>
      <c r="W621" s="3"/>
      <c r="X621" s="3"/>
    </row>
    <row r="622">
      <c r="A622" s="3" t="s">
        <v>1314</v>
      </c>
      <c r="B622" s="3" t="s">
        <v>1315</v>
      </c>
      <c r="C622" s="3" t="s">
        <v>21</v>
      </c>
      <c r="D622" s="3" t="s">
        <v>22</v>
      </c>
      <c r="E622" s="3" t="s">
        <v>1271</v>
      </c>
      <c r="F622" s="3" t="s">
        <v>28</v>
      </c>
      <c r="G622" s="3" t="s">
        <v>29</v>
      </c>
      <c r="H622" s="3" t="s">
        <v>24</v>
      </c>
      <c r="I622" s="3" t="s">
        <v>25</v>
      </c>
      <c r="J622" s="3" t="s">
        <v>30</v>
      </c>
      <c r="K622" s="3" t="s">
        <v>25</v>
      </c>
      <c r="L622" s="5">
        <v>530.0</v>
      </c>
      <c r="M622" s="5">
        <v>298.0</v>
      </c>
      <c r="N622" s="5">
        <v>310.0</v>
      </c>
      <c r="O622" s="5">
        <v>1138.0</v>
      </c>
      <c r="P622" s="6">
        <v>44668.0</v>
      </c>
      <c r="Q622" s="3" t="s">
        <v>31</v>
      </c>
      <c r="R622" s="3" t="s">
        <v>29</v>
      </c>
      <c r="S622" s="5">
        <v>1136893.0</v>
      </c>
      <c r="T622" s="3"/>
      <c r="U622" s="3"/>
      <c r="V622" s="3"/>
      <c r="W622" s="3"/>
      <c r="X622" s="3"/>
    </row>
    <row r="623">
      <c r="A623" s="3" t="s">
        <v>1316</v>
      </c>
      <c r="B623" s="3" t="s">
        <v>1317</v>
      </c>
      <c r="C623" s="3" t="s">
        <v>21</v>
      </c>
      <c r="D623" s="3" t="s">
        <v>22</v>
      </c>
      <c r="E623" s="3" t="s">
        <v>1271</v>
      </c>
      <c r="F623" s="3" t="s">
        <v>28</v>
      </c>
      <c r="G623" s="3" t="s">
        <v>29</v>
      </c>
      <c r="H623" s="3" t="s">
        <v>30</v>
      </c>
      <c r="I623" s="3" t="s">
        <v>25</v>
      </c>
      <c r="J623" s="3" t="s">
        <v>30</v>
      </c>
      <c r="K623" s="3" t="s">
        <v>25</v>
      </c>
      <c r="L623" s="5">
        <v>505.0</v>
      </c>
      <c r="M623" s="5">
        <v>326.0</v>
      </c>
      <c r="N623" s="5">
        <v>305.0</v>
      </c>
      <c r="O623" s="5">
        <v>1136.0</v>
      </c>
      <c r="P623" s="6">
        <v>44722.0</v>
      </c>
      <c r="Q623" s="3" t="s">
        <v>31</v>
      </c>
      <c r="R623" s="3" t="s">
        <v>29</v>
      </c>
      <c r="S623" s="5">
        <v>1688568.0</v>
      </c>
      <c r="T623" s="3"/>
      <c r="U623" s="3"/>
      <c r="V623" s="3"/>
      <c r="W623" s="3"/>
      <c r="X623" s="3"/>
    </row>
    <row r="624">
      <c r="A624" s="3" t="s">
        <v>1318</v>
      </c>
      <c r="B624" s="3" t="s">
        <v>1319</v>
      </c>
      <c r="C624" s="3" t="s">
        <v>21</v>
      </c>
      <c r="D624" s="3" t="s">
        <v>22</v>
      </c>
      <c r="E624" s="3" t="s">
        <v>1271</v>
      </c>
      <c r="F624" s="3" t="s">
        <v>28</v>
      </c>
      <c r="G624" s="3" t="s">
        <v>29</v>
      </c>
      <c r="H624" s="3" t="s">
        <v>30</v>
      </c>
      <c r="I624" s="3" t="s">
        <v>25</v>
      </c>
      <c r="J624" s="3" t="s">
        <v>30</v>
      </c>
      <c r="K624" s="3" t="s">
        <v>25</v>
      </c>
      <c r="L624" s="5">
        <v>500.0</v>
      </c>
      <c r="M624" s="5">
        <v>316.0</v>
      </c>
      <c r="N624" s="5">
        <v>315.0</v>
      </c>
      <c r="O624" s="5">
        <v>1131.0</v>
      </c>
      <c r="P624" s="6">
        <v>44668.0</v>
      </c>
      <c r="Q624" s="3" t="s">
        <v>31</v>
      </c>
      <c r="R624" s="3" t="s">
        <v>29</v>
      </c>
      <c r="S624" s="5">
        <v>749251.0</v>
      </c>
      <c r="T624" s="3"/>
      <c r="U624" s="3"/>
      <c r="V624" s="3"/>
      <c r="W624" s="3"/>
      <c r="X624" s="3"/>
    </row>
    <row r="625">
      <c r="A625" s="3" t="s">
        <v>1320</v>
      </c>
      <c r="B625" s="3" t="s">
        <v>1321</v>
      </c>
      <c r="C625" s="3" t="s">
        <v>21</v>
      </c>
      <c r="D625" s="3" t="s">
        <v>22</v>
      </c>
      <c r="E625" s="3" t="s">
        <v>1271</v>
      </c>
      <c r="F625" s="3" t="s">
        <v>31</v>
      </c>
      <c r="G625" s="3" t="s">
        <v>29</v>
      </c>
      <c r="H625" s="3" t="s">
        <v>30</v>
      </c>
      <c r="I625" s="3" t="s">
        <v>25</v>
      </c>
      <c r="J625" s="3" t="s">
        <v>30</v>
      </c>
      <c r="K625" s="3" t="s">
        <v>25</v>
      </c>
      <c r="L625" s="5">
        <v>480.0</v>
      </c>
      <c r="M625" s="5">
        <v>329.0</v>
      </c>
      <c r="N625" s="5">
        <v>320.0</v>
      </c>
      <c r="O625" s="5">
        <v>1129.0</v>
      </c>
      <c r="P625" s="6">
        <v>44872.0</v>
      </c>
      <c r="Q625" s="3" t="s">
        <v>31</v>
      </c>
      <c r="R625" s="3" t="s">
        <v>29</v>
      </c>
      <c r="S625" s="5">
        <v>1404655.0</v>
      </c>
      <c r="T625" s="3"/>
      <c r="U625" s="3"/>
      <c r="V625" s="3"/>
      <c r="W625" s="3"/>
      <c r="X625" s="3"/>
    </row>
    <row r="626">
      <c r="A626" s="3" t="s">
        <v>1322</v>
      </c>
      <c r="B626" s="3" t="s">
        <v>1323</v>
      </c>
      <c r="C626" s="3" t="s">
        <v>21</v>
      </c>
      <c r="D626" s="3" t="s">
        <v>59</v>
      </c>
      <c r="E626" s="3" t="s">
        <v>1271</v>
      </c>
      <c r="F626" s="3" t="s">
        <v>28</v>
      </c>
      <c r="G626" s="3" t="s">
        <v>29</v>
      </c>
      <c r="H626" s="3" t="s">
        <v>30</v>
      </c>
      <c r="I626" s="3" t="s">
        <v>25</v>
      </c>
      <c r="J626" s="3" t="s">
        <v>30</v>
      </c>
      <c r="K626" s="3" t="s">
        <v>25</v>
      </c>
      <c r="L626" s="5">
        <v>500.0</v>
      </c>
      <c r="M626" s="5">
        <v>327.0</v>
      </c>
      <c r="N626" s="5">
        <v>300.0</v>
      </c>
      <c r="O626" s="5">
        <v>1127.0</v>
      </c>
      <c r="P626" s="6">
        <v>44667.0</v>
      </c>
      <c r="Q626" s="3" t="s">
        <v>31</v>
      </c>
      <c r="R626" s="3" t="s">
        <v>29</v>
      </c>
      <c r="S626" s="5">
        <v>935036.0</v>
      </c>
      <c r="T626" s="3"/>
      <c r="U626" s="3"/>
      <c r="V626" s="3"/>
      <c r="W626" s="3"/>
      <c r="X626" s="3"/>
    </row>
    <row r="627">
      <c r="A627" s="3" t="s">
        <v>1324</v>
      </c>
      <c r="B627" s="3" t="s">
        <v>1325</v>
      </c>
      <c r="C627" s="3" t="s">
        <v>21</v>
      </c>
      <c r="D627" s="3" t="s">
        <v>59</v>
      </c>
      <c r="E627" s="3" t="s">
        <v>1271</v>
      </c>
      <c r="F627" s="3" t="s">
        <v>28</v>
      </c>
      <c r="G627" s="3" t="s">
        <v>29</v>
      </c>
      <c r="H627" s="3" t="s">
        <v>30</v>
      </c>
      <c r="I627" s="3" t="s">
        <v>25</v>
      </c>
      <c r="J627" s="3" t="s">
        <v>30</v>
      </c>
      <c r="K627" s="3" t="s">
        <v>25</v>
      </c>
      <c r="L627" s="5">
        <v>505.0</v>
      </c>
      <c r="M627" s="5">
        <v>315.0</v>
      </c>
      <c r="N627" s="5">
        <v>305.0</v>
      </c>
      <c r="O627" s="5">
        <v>1125.0</v>
      </c>
      <c r="P627" s="6">
        <v>44722.0</v>
      </c>
      <c r="Q627" s="3" t="s">
        <v>31</v>
      </c>
      <c r="R627" s="3" t="s">
        <v>29</v>
      </c>
      <c r="S627" s="5">
        <v>849399.0</v>
      </c>
      <c r="T627" s="3"/>
      <c r="U627" s="3"/>
      <c r="V627" s="3"/>
      <c r="W627" s="3"/>
      <c r="X627" s="3"/>
    </row>
    <row r="628">
      <c r="A628" s="3" t="s">
        <v>1326</v>
      </c>
      <c r="B628" s="3" t="s">
        <v>1327</v>
      </c>
      <c r="C628" s="3" t="s">
        <v>21</v>
      </c>
      <c r="D628" s="3" t="s">
        <v>59</v>
      </c>
      <c r="E628" s="3" t="s">
        <v>1271</v>
      </c>
      <c r="F628" s="3" t="s">
        <v>28</v>
      </c>
      <c r="G628" s="3" t="s">
        <v>29</v>
      </c>
      <c r="H628" s="3" t="s">
        <v>30</v>
      </c>
      <c r="I628" s="3" t="s">
        <v>25</v>
      </c>
      <c r="J628" s="3" t="s">
        <v>30</v>
      </c>
      <c r="K628" s="3" t="s">
        <v>25</v>
      </c>
      <c r="L628" s="5">
        <v>500.0</v>
      </c>
      <c r="M628" s="5">
        <v>306.0</v>
      </c>
      <c r="N628" s="5">
        <v>305.0</v>
      </c>
      <c r="O628" s="5">
        <v>1111.0</v>
      </c>
      <c r="P628" s="6">
        <v>44668.0</v>
      </c>
      <c r="Q628" s="3" t="s">
        <v>31</v>
      </c>
      <c r="R628" s="3" t="s">
        <v>29</v>
      </c>
      <c r="S628" s="5">
        <v>1262039.0</v>
      </c>
      <c r="T628" s="3"/>
      <c r="U628" s="3"/>
      <c r="V628" s="3"/>
      <c r="W628" s="3"/>
      <c r="X628" s="3"/>
    </row>
    <row r="629">
      <c r="A629" s="3" t="s">
        <v>1328</v>
      </c>
      <c r="B629" s="3" t="s">
        <v>1329</v>
      </c>
      <c r="C629" s="3" t="s">
        <v>190</v>
      </c>
      <c r="D629" s="3" t="s">
        <v>59</v>
      </c>
      <c r="E629" s="3" t="s">
        <v>1271</v>
      </c>
      <c r="F629" s="3" t="s">
        <v>28</v>
      </c>
      <c r="G629" s="3" t="s">
        <v>29</v>
      </c>
      <c r="H629" s="3" t="s">
        <v>30</v>
      </c>
      <c r="I629" s="3" t="s">
        <v>25</v>
      </c>
      <c r="J629" s="3" t="s">
        <v>30</v>
      </c>
      <c r="K629" s="3" t="s">
        <v>25</v>
      </c>
      <c r="L629" s="5">
        <v>505.0</v>
      </c>
      <c r="M629" s="5">
        <v>301.0</v>
      </c>
      <c r="N629" s="5">
        <v>300.0</v>
      </c>
      <c r="O629" s="5">
        <v>1106.0</v>
      </c>
      <c r="P629" s="6">
        <v>44669.0</v>
      </c>
      <c r="Q629" s="3" t="s">
        <v>31</v>
      </c>
      <c r="R629" s="3" t="s">
        <v>29</v>
      </c>
      <c r="S629" s="5">
        <v>1091223.0</v>
      </c>
      <c r="T629" s="3"/>
      <c r="U629" s="3"/>
      <c r="V629" s="3"/>
      <c r="W629" s="3"/>
      <c r="X629" s="3"/>
    </row>
    <row r="630">
      <c r="A630" s="3" t="s">
        <v>1330</v>
      </c>
      <c r="B630" s="3" t="s">
        <v>1331</v>
      </c>
      <c r="C630" s="3" t="s">
        <v>21</v>
      </c>
      <c r="D630" s="3" t="s">
        <v>59</v>
      </c>
      <c r="E630" s="3" t="s">
        <v>1271</v>
      </c>
      <c r="F630" s="3" t="s">
        <v>28</v>
      </c>
      <c r="G630" s="3" t="s">
        <v>29</v>
      </c>
      <c r="H630" s="3" t="s">
        <v>30</v>
      </c>
      <c r="I630" s="3" t="s">
        <v>25</v>
      </c>
      <c r="J630" s="3" t="s">
        <v>30</v>
      </c>
      <c r="K630" s="3" t="s">
        <v>25</v>
      </c>
      <c r="L630" s="5">
        <v>500.0</v>
      </c>
      <c r="M630" s="5">
        <v>303.0</v>
      </c>
      <c r="N630" s="5">
        <v>300.0</v>
      </c>
      <c r="O630" s="5">
        <v>1103.0</v>
      </c>
      <c r="P630" s="6">
        <v>44667.0</v>
      </c>
      <c r="Q630" s="3" t="s">
        <v>31</v>
      </c>
      <c r="R630" s="3" t="s">
        <v>29</v>
      </c>
      <c r="S630" s="5">
        <v>78749.0</v>
      </c>
      <c r="T630" s="3"/>
      <c r="U630" s="3"/>
      <c r="V630" s="3"/>
      <c r="W630" s="3"/>
      <c r="X630" s="3"/>
    </row>
    <row r="631">
      <c r="A631" s="3" t="s">
        <v>1332</v>
      </c>
      <c r="B631" s="3" t="s">
        <v>1333</v>
      </c>
      <c r="C631" s="3" t="s">
        <v>21</v>
      </c>
      <c r="D631" s="3" t="s">
        <v>59</v>
      </c>
      <c r="E631" s="3" t="s">
        <v>1271</v>
      </c>
      <c r="F631" s="3" t="s">
        <v>28</v>
      </c>
      <c r="G631" s="3" t="s">
        <v>29</v>
      </c>
      <c r="H631" s="3" t="s">
        <v>30</v>
      </c>
      <c r="I631" s="3" t="s">
        <v>25</v>
      </c>
      <c r="J631" s="3" t="s">
        <v>24</v>
      </c>
      <c r="K631" s="3" t="s">
        <v>25</v>
      </c>
      <c r="L631" s="5">
        <v>500.0</v>
      </c>
      <c r="M631" s="5">
        <v>308.0</v>
      </c>
      <c r="N631" s="5">
        <v>295.0</v>
      </c>
      <c r="O631" s="5">
        <v>1103.0</v>
      </c>
      <c r="P631" s="6">
        <v>44667.0</v>
      </c>
      <c r="Q631" s="3" t="s">
        <v>31</v>
      </c>
      <c r="R631" s="3" t="s">
        <v>29</v>
      </c>
      <c r="S631" s="5">
        <v>813672.0</v>
      </c>
      <c r="T631" s="3"/>
      <c r="U631" s="3"/>
      <c r="V631" s="3"/>
      <c r="W631" s="3"/>
      <c r="X631" s="3"/>
    </row>
    <row r="632">
      <c r="A632" s="3" t="s">
        <v>1334</v>
      </c>
      <c r="B632" s="3" t="s">
        <v>1335</v>
      </c>
      <c r="C632" s="3" t="s">
        <v>21</v>
      </c>
      <c r="D632" s="3" t="s">
        <v>22</v>
      </c>
      <c r="E632" s="3" t="s">
        <v>1271</v>
      </c>
      <c r="F632" s="3" t="s">
        <v>28</v>
      </c>
      <c r="G632" s="3" t="s">
        <v>29</v>
      </c>
      <c r="H632" s="3" t="s">
        <v>30</v>
      </c>
      <c r="I632" s="3" t="s">
        <v>25</v>
      </c>
      <c r="J632" s="3" t="s">
        <v>24</v>
      </c>
      <c r="K632" s="3" t="s">
        <v>25</v>
      </c>
      <c r="L632" s="5">
        <v>500.0</v>
      </c>
      <c r="M632" s="5">
        <v>318.0</v>
      </c>
      <c r="N632" s="5">
        <v>275.0</v>
      </c>
      <c r="O632" s="5">
        <v>1093.0</v>
      </c>
      <c r="P632" s="6">
        <v>44722.0</v>
      </c>
      <c r="Q632" s="3" t="s">
        <v>31</v>
      </c>
      <c r="R632" s="3" t="s">
        <v>29</v>
      </c>
      <c r="S632" s="5">
        <v>1571996.0</v>
      </c>
      <c r="T632" s="3"/>
      <c r="U632" s="3"/>
      <c r="V632" s="3"/>
      <c r="W632" s="3"/>
      <c r="X632" s="3"/>
    </row>
    <row r="633">
      <c r="A633" s="3" t="s">
        <v>1336</v>
      </c>
      <c r="B633" s="3" t="s">
        <v>1337</v>
      </c>
      <c r="C633" s="3" t="s">
        <v>21</v>
      </c>
      <c r="D633" s="3" t="s">
        <v>22</v>
      </c>
      <c r="E633" s="3" t="s">
        <v>1271</v>
      </c>
      <c r="F633" s="3" t="s">
        <v>31</v>
      </c>
      <c r="G633" s="3" t="s">
        <v>29</v>
      </c>
      <c r="H633" s="3" t="s">
        <v>30</v>
      </c>
      <c r="I633" s="3" t="s">
        <v>25</v>
      </c>
      <c r="J633" s="3" t="s">
        <v>30</v>
      </c>
      <c r="K633" s="3" t="s">
        <v>25</v>
      </c>
      <c r="L633" s="5">
        <v>470.0</v>
      </c>
      <c r="M633" s="5">
        <v>305.0</v>
      </c>
      <c r="N633" s="5">
        <v>315.0</v>
      </c>
      <c r="O633" s="5">
        <v>1090.0</v>
      </c>
      <c r="P633" s="6">
        <v>44669.0</v>
      </c>
      <c r="Q633" s="3" t="s">
        <v>31</v>
      </c>
      <c r="R633" s="3" t="s">
        <v>29</v>
      </c>
      <c r="S633" s="5">
        <v>1590955.0</v>
      </c>
      <c r="T633" s="3"/>
      <c r="U633" s="3"/>
      <c r="V633" s="3"/>
      <c r="W633" s="3"/>
      <c r="X633" s="3"/>
    </row>
    <row r="634">
      <c r="A634" s="3" t="s">
        <v>1338</v>
      </c>
      <c r="B634" s="3" t="s">
        <v>1339</v>
      </c>
      <c r="C634" s="3" t="s">
        <v>21</v>
      </c>
      <c r="D634" s="3" t="s">
        <v>59</v>
      </c>
      <c r="E634" s="3" t="s">
        <v>1271</v>
      </c>
      <c r="F634" s="3" t="s">
        <v>28</v>
      </c>
      <c r="G634" s="3" t="s">
        <v>29</v>
      </c>
      <c r="H634" s="3" t="s">
        <v>24</v>
      </c>
      <c r="I634" s="3" t="s">
        <v>25</v>
      </c>
      <c r="J634" s="3" t="s">
        <v>30</v>
      </c>
      <c r="K634" s="3" t="s">
        <v>25</v>
      </c>
      <c r="L634" s="5">
        <v>500.0</v>
      </c>
      <c r="M634" s="5">
        <v>286.0</v>
      </c>
      <c r="N634" s="5">
        <v>300.0</v>
      </c>
      <c r="O634" s="5">
        <v>1086.0</v>
      </c>
      <c r="P634" s="6">
        <v>44719.0</v>
      </c>
      <c r="Q634" s="3" t="s">
        <v>31</v>
      </c>
      <c r="R634" s="3" t="s">
        <v>29</v>
      </c>
      <c r="S634" s="5">
        <v>1667011.0</v>
      </c>
      <c r="T634" s="3"/>
      <c r="U634" s="3"/>
      <c r="V634" s="3"/>
      <c r="W634" s="3"/>
      <c r="X634" s="3"/>
    </row>
    <row r="635">
      <c r="A635" s="3" t="s">
        <v>1340</v>
      </c>
      <c r="B635" s="3" t="s">
        <v>1341</v>
      </c>
      <c r="C635" s="3" t="s">
        <v>21</v>
      </c>
      <c r="D635" s="3" t="s">
        <v>59</v>
      </c>
      <c r="E635" s="3" t="s">
        <v>1271</v>
      </c>
      <c r="F635" s="3" t="s">
        <v>28</v>
      </c>
      <c r="G635" s="3" t="s">
        <v>29</v>
      </c>
      <c r="H635" s="3" t="s">
        <v>30</v>
      </c>
      <c r="I635" s="3" t="s">
        <v>25</v>
      </c>
      <c r="J635" s="3" t="s">
        <v>24</v>
      </c>
      <c r="K635" s="3" t="s">
        <v>25</v>
      </c>
      <c r="L635" s="5">
        <v>505.0</v>
      </c>
      <c r="M635" s="5">
        <v>307.0</v>
      </c>
      <c r="N635" s="5">
        <v>245.0</v>
      </c>
      <c r="O635" s="5">
        <v>1057.0</v>
      </c>
      <c r="P635" s="6">
        <v>44668.0</v>
      </c>
      <c r="Q635" s="3" t="s">
        <v>31</v>
      </c>
      <c r="R635" s="3" t="s">
        <v>29</v>
      </c>
      <c r="S635" s="5">
        <v>944480.0</v>
      </c>
      <c r="T635" s="3"/>
      <c r="U635" s="3"/>
      <c r="V635" s="3"/>
      <c r="W635" s="3"/>
      <c r="X635" s="3"/>
    </row>
    <row r="636">
      <c r="A636" s="3" t="s">
        <v>1342</v>
      </c>
      <c r="B636" s="3" t="s">
        <v>1343</v>
      </c>
      <c r="C636" s="3" t="s">
        <v>21</v>
      </c>
      <c r="D636" s="3" t="s">
        <v>22</v>
      </c>
      <c r="E636" s="3" t="s">
        <v>1271</v>
      </c>
      <c r="F636" s="3" t="s">
        <v>31</v>
      </c>
      <c r="G636" s="3" t="s">
        <v>29</v>
      </c>
      <c r="H636" s="3" t="s">
        <v>30</v>
      </c>
      <c r="I636" s="3" t="s">
        <v>25</v>
      </c>
      <c r="J636" s="3" t="s">
        <v>30</v>
      </c>
      <c r="K636" s="3" t="s">
        <v>25</v>
      </c>
      <c r="L636" s="5">
        <v>410.0</v>
      </c>
      <c r="M636" s="5">
        <v>302.0</v>
      </c>
      <c r="N636" s="5">
        <v>300.0</v>
      </c>
      <c r="O636" s="5">
        <v>1012.0</v>
      </c>
      <c r="P636" s="6">
        <v>44668.0</v>
      </c>
      <c r="Q636" s="3" t="s">
        <v>31</v>
      </c>
      <c r="R636" s="3" t="s">
        <v>29</v>
      </c>
      <c r="S636" s="5">
        <v>1175454.0</v>
      </c>
      <c r="T636" s="3"/>
      <c r="U636" s="3"/>
      <c r="V636" s="3"/>
      <c r="W636" s="3"/>
      <c r="X636" s="3"/>
    </row>
    <row r="637">
      <c r="A637" s="3" t="s">
        <v>1344</v>
      </c>
      <c r="B637" s="3" t="s">
        <v>1345</v>
      </c>
      <c r="C637" s="3" t="s">
        <v>21</v>
      </c>
      <c r="D637" s="3" t="s">
        <v>22</v>
      </c>
      <c r="E637" s="3" t="s">
        <v>1271</v>
      </c>
      <c r="F637" s="3" t="s">
        <v>31</v>
      </c>
      <c r="G637" s="3" t="s">
        <v>29</v>
      </c>
      <c r="H637" s="3" t="s">
        <v>30</v>
      </c>
      <c r="I637" s="3" t="s">
        <v>25</v>
      </c>
      <c r="J637" s="3" t="s">
        <v>30</v>
      </c>
      <c r="K637" s="3" t="s">
        <v>25</v>
      </c>
      <c r="L637" s="5">
        <v>400.0</v>
      </c>
      <c r="M637" s="5">
        <v>306.0</v>
      </c>
      <c r="N637" s="5">
        <v>305.0</v>
      </c>
      <c r="O637" s="5">
        <v>1011.0</v>
      </c>
      <c r="P637" s="6">
        <v>44670.0</v>
      </c>
      <c r="Q637" s="3" t="s">
        <v>31</v>
      </c>
      <c r="R637" s="3" t="s">
        <v>29</v>
      </c>
      <c r="S637" s="5">
        <v>860731.0</v>
      </c>
      <c r="T637" s="3"/>
      <c r="U637" s="3"/>
      <c r="V637" s="3"/>
      <c r="W637" s="3"/>
      <c r="X637" s="3"/>
    </row>
    <row r="638">
      <c r="A638" s="3" t="s">
        <v>1346</v>
      </c>
      <c r="B638" s="3" t="s">
        <v>1347</v>
      </c>
      <c r="C638" s="3" t="s">
        <v>21</v>
      </c>
      <c r="D638" s="3" t="s">
        <v>59</v>
      </c>
      <c r="E638" s="3" t="s">
        <v>1271</v>
      </c>
      <c r="F638" s="3" t="s">
        <v>30</v>
      </c>
      <c r="G638" s="3" t="s">
        <v>25</v>
      </c>
      <c r="H638" s="3" t="s">
        <v>30</v>
      </c>
      <c r="I638" s="3" t="s">
        <v>25</v>
      </c>
      <c r="J638" s="3" t="s">
        <v>30</v>
      </c>
      <c r="K638" s="3" t="s">
        <v>25</v>
      </c>
      <c r="L638" s="5">
        <v>395.0</v>
      </c>
      <c r="M638" s="5">
        <v>302.0</v>
      </c>
      <c r="N638" s="5">
        <v>310.0</v>
      </c>
      <c r="O638" s="5">
        <v>1007.0</v>
      </c>
      <c r="P638" s="6">
        <v>44668.0</v>
      </c>
      <c r="Q638" s="3" t="s">
        <v>31</v>
      </c>
      <c r="R638" s="3" t="s">
        <v>29</v>
      </c>
      <c r="S638" s="5">
        <v>798354.0</v>
      </c>
      <c r="T638" s="3"/>
      <c r="U638" s="3"/>
      <c r="V638" s="3"/>
      <c r="W638" s="3"/>
      <c r="X638" s="3"/>
    </row>
    <row r="639">
      <c r="A639" s="3" t="s">
        <v>1348</v>
      </c>
      <c r="B639" s="3" t="s">
        <v>1349</v>
      </c>
      <c r="C639" s="3" t="s">
        <v>21</v>
      </c>
      <c r="D639" s="3" t="s">
        <v>59</v>
      </c>
      <c r="E639" s="3" t="s">
        <v>1271</v>
      </c>
      <c r="F639" s="3" t="s">
        <v>28</v>
      </c>
      <c r="G639" s="3" t="s">
        <v>29</v>
      </c>
      <c r="H639" s="3" t="s">
        <v>30</v>
      </c>
      <c r="I639" s="3" t="s">
        <v>25</v>
      </c>
      <c r="J639" s="3" t="s">
        <v>24</v>
      </c>
      <c r="K639" s="3" t="s">
        <v>25</v>
      </c>
      <c r="L639" s="5">
        <v>500.0</v>
      </c>
      <c r="M639" s="5">
        <v>300.0</v>
      </c>
      <c r="N639" s="5">
        <v>200.0</v>
      </c>
      <c r="O639" s="5">
        <v>1000.0</v>
      </c>
      <c r="P639" s="6">
        <v>44767.0</v>
      </c>
      <c r="Q639" s="3" t="s">
        <v>31</v>
      </c>
      <c r="R639" s="3" t="s">
        <v>29</v>
      </c>
      <c r="S639" s="5">
        <v>8670.0</v>
      </c>
      <c r="T639" s="3"/>
      <c r="U639" s="3"/>
      <c r="V639" s="3"/>
      <c r="W639" s="3"/>
      <c r="X639" s="3"/>
    </row>
    <row r="640">
      <c r="A640" s="3" t="s">
        <v>1350</v>
      </c>
      <c r="B640" s="3" t="s">
        <v>1351</v>
      </c>
      <c r="C640" s="3" t="s">
        <v>21</v>
      </c>
      <c r="D640" s="3" t="s">
        <v>59</v>
      </c>
      <c r="E640" s="3" t="s">
        <v>1271</v>
      </c>
      <c r="F640" s="3" t="s">
        <v>28</v>
      </c>
      <c r="G640" s="3" t="s">
        <v>29</v>
      </c>
      <c r="H640" s="3" t="s">
        <v>30</v>
      </c>
      <c r="I640" s="3" t="s">
        <v>25</v>
      </c>
      <c r="J640" s="3" t="s">
        <v>24</v>
      </c>
      <c r="K640" s="3" t="s">
        <v>25</v>
      </c>
      <c r="L640" s="5">
        <v>500.0</v>
      </c>
      <c r="M640" s="5">
        <v>300.0</v>
      </c>
      <c r="N640" s="5">
        <v>200.0</v>
      </c>
      <c r="O640" s="5">
        <v>1000.0</v>
      </c>
      <c r="P640" s="6">
        <v>44768.0</v>
      </c>
      <c r="Q640" s="3" t="s">
        <v>31</v>
      </c>
      <c r="R640" s="3" t="s">
        <v>29</v>
      </c>
      <c r="S640" s="5">
        <v>723531.0</v>
      </c>
      <c r="T640" s="3"/>
      <c r="U640" s="3"/>
      <c r="V640" s="3"/>
      <c r="W640" s="3"/>
      <c r="X640" s="3"/>
    </row>
    <row r="641">
      <c r="A641" s="3" t="s">
        <v>1352</v>
      </c>
      <c r="B641" s="3" t="s">
        <v>1353</v>
      </c>
      <c r="C641" s="3" t="s">
        <v>21</v>
      </c>
      <c r="D641" s="3" t="s">
        <v>22</v>
      </c>
      <c r="E641" s="3" t="s">
        <v>1271</v>
      </c>
      <c r="F641" s="3" t="s">
        <v>28</v>
      </c>
      <c r="G641" s="3" t="s">
        <v>29</v>
      </c>
      <c r="H641" s="3" t="s">
        <v>30</v>
      </c>
      <c r="I641" s="3" t="s">
        <v>25</v>
      </c>
      <c r="J641" s="3" t="s">
        <v>24</v>
      </c>
      <c r="K641" s="3" t="s">
        <v>25</v>
      </c>
      <c r="L641" s="5">
        <v>500.0</v>
      </c>
      <c r="M641" s="5">
        <v>300.0</v>
      </c>
      <c r="N641" s="5">
        <v>200.0</v>
      </c>
      <c r="O641" s="5">
        <v>1000.0</v>
      </c>
      <c r="P641" s="6">
        <v>44821.0</v>
      </c>
      <c r="Q641" s="3" t="s">
        <v>31</v>
      </c>
      <c r="R641" s="3" t="s">
        <v>29</v>
      </c>
      <c r="S641" s="5">
        <v>1341439.0</v>
      </c>
      <c r="T641" s="3"/>
      <c r="U641" s="3"/>
      <c r="V641" s="3"/>
      <c r="W641" s="3"/>
      <c r="X641" s="3"/>
    </row>
    <row r="642">
      <c r="A642" s="3" t="s">
        <v>1354</v>
      </c>
      <c r="B642" s="3" t="s">
        <v>1355</v>
      </c>
      <c r="C642" s="3" t="s">
        <v>21</v>
      </c>
      <c r="D642" s="3" t="s">
        <v>22</v>
      </c>
      <c r="E642" s="3" t="s">
        <v>1271</v>
      </c>
      <c r="F642" s="3" t="s">
        <v>28</v>
      </c>
      <c r="G642" s="3" t="s">
        <v>29</v>
      </c>
      <c r="H642" s="3" t="s">
        <v>24</v>
      </c>
      <c r="I642" s="3" t="s">
        <v>25</v>
      </c>
      <c r="J642" s="3" t="s">
        <v>24</v>
      </c>
      <c r="K642" s="3" t="s">
        <v>25</v>
      </c>
      <c r="L642" s="5">
        <v>515.0</v>
      </c>
      <c r="M642" s="5">
        <v>278.0</v>
      </c>
      <c r="N642" s="5">
        <v>205.0</v>
      </c>
      <c r="O642" s="5">
        <v>998.0</v>
      </c>
      <c r="P642" s="6">
        <v>44672.0</v>
      </c>
      <c r="Q642" s="3" t="s">
        <v>31</v>
      </c>
      <c r="R642" s="3" t="s">
        <v>29</v>
      </c>
      <c r="S642" s="5">
        <v>1856314.0</v>
      </c>
      <c r="T642" s="3"/>
      <c r="U642" s="3"/>
      <c r="V642" s="3"/>
      <c r="W642" s="3"/>
      <c r="X642" s="3"/>
    </row>
    <row r="643">
      <c r="A643" s="3" t="s">
        <v>1356</v>
      </c>
      <c r="B643" s="3" t="s">
        <v>1357</v>
      </c>
      <c r="C643" s="3" t="s">
        <v>21</v>
      </c>
      <c r="D643" s="3" t="s">
        <v>22</v>
      </c>
      <c r="E643" s="3" t="s">
        <v>1271</v>
      </c>
      <c r="F643" s="3" t="s">
        <v>30</v>
      </c>
      <c r="G643" s="3" t="s">
        <v>25</v>
      </c>
      <c r="H643" s="3" t="s">
        <v>30</v>
      </c>
      <c r="I643" s="3" t="s">
        <v>25</v>
      </c>
      <c r="J643" s="3" t="s">
        <v>30</v>
      </c>
      <c r="K643" s="3" t="s">
        <v>25</v>
      </c>
      <c r="L643" s="5">
        <v>325.0</v>
      </c>
      <c r="M643" s="5">
        <v>314.0</v>
      </c>
      <c r="N643" s="5">
        <v>310.0</v>
      </c>
      <c r="O643" s="5">
        <v>949.0</v>
      </c>
      <c r="P643" s="6">
        <v>44723.0</v>
      </c>
      <c r="Q643" s="3" t="s">
        <v>31</v>
      </c>
      <c r="R643" s="3" t="s">
        <v>29</v>
      </c>
      <c r="S643" s="5">
        <v>1614178.0</v>
      </c>
      <c r="T643" s="3"/>
      <c r="U643" s="3"/>
      <c r="V643" s="3"/>
      <c r="W643" s="3"/>
      <c r="X643" s="3"/>
    </row>
    <row r="644">
      <c r="A644" s="3" t="s">
        <v>1358</v>
      </c>
      <c r="B644" s="3" t="s">
        <v>1359</v>
      </c>
      <c r="C644" s="3" t="s">
        <v>21</v>
      </c>
      <c r="D644" s="3" t="s">
        <v>59</v>
      </c>
      <c r="E644" s="3" t="s">
        <v>1271</v>
      </c>
      <c r="F644" s="3" t="s">
        <v>30</v>
      </c>
      <c r="G644" s="3" t="s">
        <v>25</v>
      </c>
      <c r="H644" s="3" t="s">
        <v>24</v>
      </c>
      <c r="I644" s="3" t="s">
        <v>25</v>
      </c>
      <c r="J644" s="3" t="s">
        <v>30</v>
      </c>
      <c r="K644" s="3" t="s">
        <v>25</v>
      </c>
      <c r="L644" s="5">
        <v>340.0</v>
      </c>
      <c r="M644" s="5">
        <v>299.0</v>
      </c>
      <c r="N644" s="5">
        <v>305.0</v>
      </c>
      <c r="O644" s="5">
        <v>944.0</v>
      </c>
      <c r="P644" s="6">
        <v>44723.0</v>
      </c>
      <c r="Q644" s="3" t="s">
        <v>31</v>
      </c>
      <c r="R644" s="3" t="s">
        <v>29</v>
      </c>
      <c r="S644" s="5">
        <v>1790625.0</v>
      </c>
      <c r="T644" s="3"/>
      <c r="U644" s="3"/>
      <c r="V644" s="3"/>
      <c r="W644" s="3"/>
      <c r="X644" s="3"/>
    </row>
    <row r="645">
      <c r="A645" s="3" t="s">
        <v>1360</v>
      </c>
      <c r="B645" s="3" t="s">
        <v>1361</v>
      </c>
      <c r="C645" s="3" t="s">
        <v>21</v>
      </c>
      <c r="D645" s="3" t="s">
        <v>59</v>
      </c>
      <c r="E645" s="3" t="s">
        <v>1271</v>
      </c>
      <c r="F645" s="3" t="s">
        <v>30</v>
      </c>
      <c r="G645" s="3" t="s">
        <v>25</v>
      </c>
      <c r="H645" s="3" t="s">
        <v>30</v>
      </c>
      <c r="I645" s="3" t="s">
        <v>25</v>
      </c>
      <c r="J645" s="3" t="s">
        <v>24</v>
      </c>
      <c r="K645" s="3" t="s">
        <v>25</v>
      </c>
      <c r="L645" s="5">
        <v>346.0</v>
      </c>
      <c r="M645" s="5">
        <v>325.0</v>
      </c>
      <c r="N645" s="5">
        <v>260.0</v>
      </c>
      <c r="O645" s="5">
        <v>931.0</v>
      </c>
      <c r="P645" s="6">
        <v>44723.0</v>
      </c>
      <c r="Q645" s="3" t="s">
        <v>31</v>
      </c>
      <c r="R645" s="3" t="s">
        <v>29</v>
      </c>
      <c r="S645" s="5">
        <v>1819394.0</v>
      </c>
      <c r="T645" s="3"/>
      <c r="U645" s="3"/>
      <c r="V645" s="3"/>
      <c r="W645" s="3"/>
      <c r="X645" s="3"/>
    </row>
    <row r="646">
      <c r="A646" s="3" t="s">
        <v>1362</v>
      </c>
      <c r="B646" s="3" t="s">
        <v>1363</v>
      </c>
      <c r="C646" s="3" t="s">
        <v>21</v>
      </c>
      <c r="D646" s="3" t="s">
        <v>22</v>
      </c>
      <c r="E646" s="3" t="s">
        <v>1271</v>
      </c>
      <c r="F646" s="3" t="s">
        <v>30</v>
      </c>
      <c r="G646" s="3" t="s">
        <v>25</v>
      </c>
      <c r="H646" s="3" t="s">
        <v>30</v>
      </c>
      <c r="I646" s="3" t="s">
        <v>25</v>
      </c>
      <c r="J646" s="3" t="s">
        <v>24</v>
      </c>
      <c r="K646" s="3" t="s">
        <v>25</v>
      </c>
      <c r="L646" s="5">
        <v>310.0</v>
      </c>
      <c r="M646" s="5">
        <v>343.0</v>
      </c>
      <c r="N646" s="5">
        <v>265.0</v>
      </c>
      <c r="O646" s="5">
        <v>918.0</v>
      </c>
      <c r="P646" s="6">
        <v>44668.0</v>
      </c>
      <c r="Q646" s="3" t="s">
        <v>31</v>
      </c>
      <c r="R646" s="3" t="s">
        <v>29</v>
      </c>
      <c r="S646" s="5">
        <v>1123360.0</v>
      </c>
      <c r="T646" s="3"/>
      <c r="U646" s="3"/>
      <c r="V646" s="3"/>
      <c r="W646" s="3"/>
      <c r="X646" s="3"/>
    </row>
    <row r="647">
      <c r="A647" s="3" t="s">
        <v>1364</v>
      </c>
      <c r="B647" s="3" t="s">
        <v>1365</v>
      </c>
      <c r="C647" s="3" t="s">
        <v>21</v>
      </c>
      <c r="D647" s="3" t="s">
        <v>59</v>
      </c>
      <c r="E647" s="3" t="s">
        <v>1271</v>
      </c>
      <c r="F647" s="3" t="s">
        <v>30</v>
      </c>
      <c r="G647" s="3" t="s">
        <v>25</v>
      </c>
      <c r="H647" s="3" t="s">
        <v>24</v>
      </c>
      <c r="I647" s="3" t="s">
        <v>25</v>
      </c>
      <c r="J647" s="3" t="s">
        <v>24</v>
      </c>
      <c r="K647" s="3" t="s">
        <v>25</v>
      </c>
      <c r="L647" s="5">
        <v>370.0</v>
      </c>
      <c r="M647" s="5">
        <v>244.0</v>
      </c>
      <c r="N647" s="5">
        <v>285.0</v>
      </c>
      <c r="O647" s="5">
        <v>899.0</v>
      </c>
      <c r="P647" s="6">
        <v>44669.0</v>
      </c>
      <c r="Q647" s="3" t="s">
        <v>30</v>
      </c>
      <c r="R647" s="3" t="s">
        <v>25</v>
      </c>
      <c r="S647" s="5">
        <v>1633917.0</v>
      </c>
      <c r="T647" s="3"/>
      <c r="U647" s="3"/>
      <c r="V647" s="3"/>
      <c r="W647" s="3"/>
      <c r="X647" s="3"/>
    </row>
    <row r="648">
      <c r="A648" s="3" t="s">
        <v>1366</v>
      </c>
      <c r="B648" s="3" t="s">
        <v>1367</v>
      </c>
      <c r="C648" s="3" t="s">
        <v>21</v>
      </c>
      <c r="D648" s="3" t="s">
        <v>59</v>
      </c>
      <c r="E648" s="3" t="s">
        <v>1271</v>
      </c>
      <c r="F648" s="3" t="s">
        <v>24</v>
      </c>
      <c r="G648" s="3" t="s">
        <v>25</v>
      </c>
      <c r="H648" s="3" t="s">
        <v>30</v>
      </c>
      <c r="I648" s="3" t="s">
        <v>25</v>
      </c>
      <c r="J648" s="3" t="s">
        <v>30</v>
      </c>
      <c r="K648" s="3" t="s">
        <v>25</v>
      </c>
      <c r="L648" s="5">
        <v>225.0</v>
      </c>
      <c r="M648" s="5">
        <v>335.0</v>
      </c>
      <c r="N648" s="5">
        <v>335.0</v>
      </c>
      <c r="O648" s="5">
        <v>895.0</v>
      </c>
      <c r="P648" s="6">
        <v>44722.0</v>
      </c>
      <c r="Q648" s="3" t="s">
        <v>30</v>
      </c>
      <c r="R648" s="3" t="s">
        <v>25</v>
      </c>
      <c r="S648" s="5">
        <v>1820953.0</v>
      </c>
      <c r="T648" s="3"/>
      <c r="U648" s="3"/>
      <c r="V648" s="3"/>
      <c r="W648" s="3"/>
      <c r="X648" s="3"/>
    </row>
    <row r="649">
      <c r="A649" s="3" t="s">
        <v>1368</v>
      </c>
      <c r="B649" s="3" t="s">
        <v>1369</v>
      </c>
      <c r="C649" s="3" t="s">
        <v>21</v>
      </c>
      <c r="D649" s="3" t="s">
        <v>59</v>
      </c>
      <c r="E649" s="3" t="s">
        <v>1271</v>
      </c>
      <c r="F649" s="3" t="s">
        <v>30</v>
      </c>
      <c r="G649" s="3" t="s">
        <v>25</v>
      </c>
      <c r="H649" s="3" t="s">
        <v>24</v>
      </c>
      <c r="I649" s="3" t="s">
        <v>25</v>
      </c>
      <c r="J649" s="3" t="s">
        <v>24</v>
      </c>
      <c r="K649" s="3" t="s">
        <v>25</v>
      </c>
      <c r="L649" s="5">
        <v>355.0</v>
      </c>
      <c r="M649" s="5">
        <v>281.0</v>
      </c>
      <c r="N649" s="5">
        <v>255.0</v>
      </c>
      <c r="O649" s="5">
        <v>891.0</v>
      </c>
      <c r="P649" s="6">
        <v>44667.0</v>
      </c>
      <c r="Q649" s="3" t="s">
        <v>30</v>
      </c>
      <c r="R649" s="3" t="s">
        <v>25</v>
      </c>
      <c r="S649" s="5">
        <v>320193.0</v>
      </c>
      <c r="T649" s="3"/>
      <c r="U649" s="3"/>
      <c r="V649" s="3"/>
      <c r="W649" s="3"/>
      <c r="X649" s="3"/>
    </row>
    <row r="650">
      <c r="A650" s="3" t="s">
        <v>1370</v>
      </c>
      <c r="B650" s="3" t="s">
        <v>1371</v>
      </c>
      <c r="C650" s="3" t="s">
        <v>21</v>
      </c>
      <c r="D650" s="3" t="s">
        <v>59</v>
      </c>
      <c r="E650" s="3" t="s">
        <v>1271</v>
      </c>
      <c r="F650" s="3" t="s">
        <v>24</v>
      </c>
      <c r="G650" s="3" t="s">
        <v>25</v>
      </c>
      <c r="H650" s="3" t="s">
        <v>30</v>
      </c>
      <c r="I650" s="3" t="s">
        <v>25</v>
      </c>
      <c r="J650" s="3" t="s">
        <v>24</v>
      </c>
      <c r="K650" s="3" t="s">
        <v>25</v>
      </c>
      <c r="L650" s="5">
        <v>280.0</v>
      </c>
      <c r="M650" s="5">
        <v>305.0</v>
      </c>
      <c r="N650" s="5">
        <v>260.0</v>
      </c>
      <c r="O650" s="5">
        <v>845.0</v>
      </c>
      <c r="P650" s="6">
        <v>44722.0</v>
      </c>
      <c r="Q650" s="3" t="s">
        <v>30</v>
      </c>
      <c r="R650" s="3" t="s">
        <v>25</v>
      </c>
      <c r="S650" s="5">
        <v>1529274.0</v>
      </c>
      <c r="T650" s="3"/>
      <c r="U650" s="3"/>
      <c r="V650" s="3"/>
      <c r="W650" s="3"/>
      <c r="X650" s="3"/>
    </row>
    <row r="651">
      <c r="A651" s="3" t="s">
        <v>1372</v>
      </c>
      <c r="B651" s="3" t="s">
        <v>1373</v>
      </c>
      <c r="C651" s="3" t="s">
        <v>21</v>
      </c>
      <c r="D651" s="3" t="s">
        <v>59</v>
      </c>
      <c r="E651" s="3" t="s">
        <v>1271</v>
      </c>
      <c r="F651" s="3" t="s">
        <v>24</v>
      </c>
      <c r="G651" s="3" t="s">
        <v>25</v>
      </c>
      <c r="H651" s="3" t="s">
        <v>30</v>
      </c>
      <c r="I651" s="3" t="s">
        <v>25</v>
      </c>
      <c r="J651" s="3" t="s">
        <v>30</v>
      </c>
      <c r="K651" s="3" t="s">
        <v>25</v>
      </c>
      <c r="L651" s="5">
        <v>235.0</v>
      </c>
      <c r="M651" s="5">
        <v>301.0</v>
      </c>
      <c r="N651" s="5">
        <v>308.0</v>
      </c>
      <c r="O651" s="5">
        <v>844.0</v>
      </c>
      <c r="P651" s="6">
        <v>44667.0</v>
      </c>
      <c r="Q651" s="3" t="s">
        <v>30</v>
      </c>
      <c r="R651" s="3" t="s">
        <v>25</v>
      </c>
      <c r="S651" s="5">
        <v>1362190.0</v>
      </c>
      <c r="T651" s="3"/>
      <c r="U651" s="3"/>
      <c r="V651" s="3"/>
      <c r="W651" s="3"/>
      <c r="X651" s="3"/>
    </row>
    <row r="652">
      <c r="A652" s="3" t="s">
        <v>1374</v>
      </c>
      <c r="B652" s="3" t="s">
        <v>1375</v>
      </c>
      <c r="C652" s="3" t="s">
        <v>21</v>
      </c>
      <c r="D652" s="3" t="s">
        <v>22</v>
      </c>
      <c r="E652" s="3" t="s">
        <v>1271</v>
      </c>
      <c r="F652" s="3" t="s">
        <v>24</v>
      </c>
      <c r="G652" s="3" t="s">
        <v>25</v>
      </c>
      <c r="H652" s="3" t="s">
        <v>30</v>
      </c>
      <c r="I652" s="3" t="s">
        <v>25</v>
      </c>
      <c r="J652" s="3" t="s">
        <v>24</v>
      </c>
      <c r="K652" s="3" t="s">
        <v>25</v>
      </c>
      <c r="L652" s="5">
        <v>230.0</v>
      </c>
      <c r="M652" s="5">
        <v>359.0</v>
      </c>
      <c r="N652" s="5">
        <v>230.0</v>
      </c>
      <c r="O652" s="5">
        <v>819.0</v>
      </c>
      <c r="P652" s="6">
        <v>44668.0</v>
      </c>
      <c r="Q652" s="3" t="s">
        <v>30</v>
      </c>
      <c r="R652" s="3" t="s">
        <v>25</v>
      </c>
      <c r="S652" s="5">
        <v>1645590.0</v>
      </c>
      <c r="T652" s="3"/>
      <c r="U652" s="3"/>
      <c r="V652" s="3"/>
      <c r="W652" s="3"/>
      <c r="X652" s="3"/>
    </row>
    <row r="653">
      <c r="A653" s="3" t="s">
        <v>1376</v>
      </c>
      <c r="B653" s="3" t="s">
        <v>1377</v>
      </c>
      <c r="C653" s="3" t="s">
        <v>21</v>
      </c>
      <c r="D653" s="3" t="s">
        <v>59</v>
      </c>
      <c r="E653" s="3" t="s">
        <v>1271</v>
      </c>
      <c r="F653" s="3" t="s">
        <v>24</v>
      </c>
      <c r="G653" s="3" t="s">
        <v>25</v>
      </c>
      <c r="H653" s="3" t="s">
        <v>24</v>
      </c>
      <c r="I653" s="3" t="s">
        <v>25</v>
      </c>
      <c r="J653" s="3" t="s">
        <v>30</v>
      </c>
      <c r="K653" s="3" t="s">
        <v>25</v>
      </c>
      <c r="L653" s="5">
        <v>225.0</v>
      </c>
      <c r="M653" s="5">
        <v>260.0</v>
      </c>
      <c r="N653" s="5">
        <v>315.0</v>
      </c>
      <c r="O653" s="5">
        <v>800.0</v>
      </c>
      <c r="P653" s="6">
        <v>44723.0</v>
      </c>
      <c r="Q653" s="3" t="s">
        <v>30</v>
      </c>
      <c r="R653" s="3" t="s">
        <v>25</v>
      </c>
      <c r="S653" s="5">
        <v>1833908.0</v>
      </c>
      <c r="T653" s="3"/>
      <c r="U653" s="3"/>
      <c r="V653" s="3"/>
      <c r="W653" s="3"/>
      <c r="X653" s="3"/>
    </row>
    <row r="654">
      <c r="A654" s="3" t="s">
        <v>1378</v>
      </c>
      <c r="B654" s="3" t="s">
        <v>1379</v>
      </c>
      <c r="C654" s="3" t="s">
        <v>21</v>
      </c>
      <c r="D654" s="3" t="s">
        <v>59</v>
      </c>
      <c r="E654" s="3" t="s">
        <v>1271</v>
      </c>
      <c r="F654" s="3" t="s">
        <v>24</v>
      </c>
      <c r="G654" s="3" t="s">
        <v>25</v>
      </c>
      <c r="H654" s="3" t="s">
        <v>24</v>
      </c>
      <c r="I654" s="3" t="s">
        <v>25</v>
      </c>
      <c r="J654" s="3" t="s">
        <v>24</v>
      </c>
      <c r="K654" s="3" t="s">
        <v>25</v>
      </c>
      <c r="L654" s="5">
        <v>285.0</v>
      </c>
      <c r="M654" s="5">
        <v>245.0</v>
      </c>
      <c r="N654" s="5">
        <v>240.0</v>
      </c>
      <c r="O654" s="5">
        <v>770.0</v>
      </c>
      <c r="P654" s="6">
        <v>44722.0</v>
      </c>
      <c r="Q654" s="3" t="s">
        <v>30</v>
      </c>
      <c r="R654" s="3" t="s">
        <v>25</v>
      </c>
      <c r="S654" s="5">
        <v>1088034.0</v>
      </c>
      <c r="T654" s="3"/>
      <c r="U654" s="3"/>
      <c r="V654" s="3"/>
      <c r="W654" s="3"/>
      <c r="X654" s="3"/>
    </row>
    <row r="655">
      <c r="A655" s="3" t="s">
        <v>1380</v>
      </c>
      <c r="B655" s="3" t="s">
        <v>1381</v>
      </c>
      <c r="C655" s="3" t="s">
        <v>21</v>
      </c>
      <c r="D655" s="3" t="s">
        <v>59</v>
      </c>
      <c r="E655" s="3" t="s">
        <v>1271</v>
      </c>
      <c r="F655" s="3" t="s">
        <v>24</v>
      </c>
      <c r="G655" s="3" t="s">
        <v>25</v>
      </c>
      <c r="H655" s="3" t="s">
        <v>24</v>
      </c>
      <c r="I655" s="3" t="s">
        <v>25</v>
      </c>
      <c r="J655" s="3" t="s">
        <v>30</v>
      </c>
      <c r="K655" s="3" t="s">
        <v>25</v>
      </c>
      <c r="L655" s="5">
        <v>221.0</v>
      </c>
      <c r="M655" s="5">
        <v>225.0</v>
      </c>
      <c r="N655" s="5">
        <v>305.0</v>
      </c>
      <c r="O655" s="5">
        <v>751.0</v>
      </c>
      <c r="P655" s="6">
        <v>44671.0</v>
      </c>
      <c r="Q655" s="3" t="s">
        <v>30</v>
      </c>
      <c r="R655" s="3" t="s">
        <v>25</v>
      </c>
      <c r="S655" s="5">
        <v>1742518.0</v>
      </c>
      <c r="T655" s="3"/>
      <c r="U655" s="3"/>
      <c r="V655" s="3"/>
      <c r="W655" s="3"/>
      <c r="X655" s="3"/>
    </row>
    <row r="656">
      <c r="A656" s="3" t="s">
        <v>1382</v>
      </c>
      <c r="B656" s="3" t="s">
        <v>1383</v>
      </c>
      <c r="C656" s="3" t="s">
        <v>21</v>
      </c>
      <c r="D656" s="3" t="s">
        <v>22</v>
      </c>
      <c r="E656" s="3" t="s">
        <v>1271</v>
      </c>
      <c r="F656" s="3" t="s">
        <v>24</v>
      </c>
      <c r="G656" s="3" t="s">
        <v>25</v>
      </c>
      <c r="H656" s="3" t="s">
        <v>24</v>
      </c>
      <c r="I656" s="3" t="s">
        <v>25</v>
      </c>
      <c r="J656" s="3" t="s">
        <v>24</v>
      </c>
      <c r="K656" s="3" t="s">
        <v>25</v>
      </c>
      <c r="L656" s="5">
        <v>240.0</v>
      </c>
      <c r="M656" s="5">
        <v>234.0</v>
      </c>
      <c r="N656" s="5">
        <v>200.0</v>
      </c>
      <c r="O656" s="5">
        <v>674.0</v>
      </c>
      <c r="P656" s="6">
        <v>44828.0</v>
      </c>
      <c r="Q656" s="3" t="s">
        <v>24</v>
      </c>
      <c r="R656" s="3" t="s">
        <v>25</v>
      </c>
      <c r="S656" s="5">
        <v>1423774.0</v>
      </c>
      <c r="T656" s="3"/>
      <c r="U656" s="3"/>
      <c r="V656" s="3"/>
      <c r="W656" s="3"/>
      <c r="X656" s="3"/>
    </row>
    <row r="657">
      <c r="A657" s="3" t="s">
        <v>1384</v>
      </c>
      <c r="B657" s="3" t="s">
        <v>1385</v>
      </c>
      <c r="C657" s="3" t="s">
        <v>21</v>
      </c>
      <c r="D657" s="3" t="s">
        <v>22</v>
      </c>
      <c r="E657" s="3" t="s">
        <v>1271</v>
      </c>
      <c r="F657" s="3" t="s">
        <v>24</v>
      </c>
      <c r="G657" s="3" t="s">
        <v>25</v>
      </c>
      <c r="H657" s="3" t="s">
        <v>24</v>
      </c>
      <c r="I657" s="3" t="s">
        <v>25</v>
      </c>
      <c r="J657" s="3" t="s">
        <v>24</v>
      </c>
      <c r="K657" s="3" t="s">
        <v>25</v>
      </c>
      <c r="L657" s="5">
        <v>215.0</v>
      </c>
      <c r="M657" s="5">
        <v>241.0</v>
      </c>
      <c r="N657" s="5">
        <v>200.0</v>
      </c>
      <c r="O657" s="5">
        <v>656.0</v>
      </c>
      <c r="P657" s="6">
        <v>44670.0</v>
      </c>
      <c r="Q657" s="3" t="s">
        <v>24</v>
      </c>
      <c r="R657" s="3" t="s">
        <v>25</v>
      </c>
      <c r="S657" s="5">
        <v>1108524.0</v>
      </c>
      <c r="T657" s="3"/>
      <c r="U657" s="3"/>
      <c r="V657" s="3"/>
      <c r="W657" s="3"/>
      <c r="X657" s="3"/>
    </row>
    <row r="658">
      <c r="A658" s="3" t="s">
        <v>1386</v>
      </c>
      <c r="B658" s="3" t="s">
        <v>1387</v>
      </c>
      <c r="C658" s="3" t="s">
        <v>21</v>
      </c>
      <c r="D658" s="3" t="s">
        <v>22</v>
      </c>
      <c r="E658" s="3" t="s">
        <v>1271</v>
      </c>
      <c r="F658" s="3" t="s">
        <v>24</v>
      </c>
      <c r="G658" s="3" t="s">
        <v>25</v>
      </c>
      <c r="H658" s="3" t="s">
        <v>24</v>
      </c>
      <c r="I658" s="3" t="s">
        <v>25</v>
      </c>
      <c r="J658" s="3" t="s">
        <v>24</v>
      </c>
      <c r="K658" s="3" t="s">
        <v>25</v>
      </c>
      <c r="L658" s="5">
        <v>245.0</v>
      </c>
      <c r="M658" s="5">
        <v>211.0</v>
      </c>
      <c r="N658" s="5">
        <v>200.0</v>
      </c>
      <c r="O658" s="5">
        <v>656.0</v>
      </c>
      <c r="P658" s="6">
        <v>44668.0</v>
      </c>
      <c r="Q658" s="3" t="s">
        <v>24</v>
      </c>
      <c r="R658" s="3" t="s">
        <v>25</v>
      </c>
      <c r="S658" s="5">
        <v>47217.0</v>
      </c>
      <c r="T658" s="3"/>
      <c r="U658" s="3"/>
      <c r="V658" s="3"/>
      <c r="W658" s="3"/>
      <c r="X658" s="3"/>
    </row>
    <row r="659">
      <c r="A659" s="3" t="s">
        <v>1388</v>
      </c>
      <c r="B659" s="3" t="s">
        <v>1389</v>
      </c>
      <c r="C659" s="3" t="s">
        <v>21</v>
      </c>
      <c r="D659" s="3" t="s">
        <v>22</v>
      </c>
      <c r="E659" s="3" t="s">
        <v>1271</v>
      </c>
      <c r="F659" s="3" t="s">
        <v>24</v>
      </c>
      <c r="G659" s="3" t="s">
        <v>25</v>
      </c>
      <c r="H659" s="3" t="s">
        <v>24</v>
      </c>
      <c r="I659" s="3" t="s">
        <v>25</v>
      </c>
      <c r="J659" s="3" t="s">
        <v>24</v>
      </c>
      <c r="K659" s="3" t="s">
        <v>25</v>
      </c>
      <c r="L659" s="5">
        <v>210.0</v>
      </c>
      <c r="M659" s="5">
        <v>230.0</v>
      </c>
      <c r="N659" s="5">
        <v>215.0</v>
      </c>
      <c r="O659" s="5">
        <v>655.0</v>
      </c>
      <c r="P659" s="6">
        <v>44669.0</v>
      </c>
      <c r="Q659" s="3" t="s">
        <v>24</v>
      </c>
      <c r="R659" s="3" t="s">
        <v>25</v>
      </c>
      <c r="S659" s="5">
        <v>1141391.0</v>
      </c>
      <c r="T659" s="3"/>
      <c r="U659" s="3"/>
      <c r="V659" s="3"/>
      <c r="W659" s="3"/>
      <c r="X659" s="3"/>
    </row>
    <row r="660">
      <c r="A660" s="3" t="s">
        <v>1390</v>
      </c>
      <c r="B660" s="3" t="s">
        <v>1391</v>
      </c>
      <c r="C660" s="3" t="s">
        <v>21</v>
      </c>
      <c r="D660" s="3" t="s">
        <v>22</v>
      </c>
      <c r="E660" s="3" t="s">
        <v>1271</v>
      </c>
      <c r="F660" s="3" t="s">
        <v>24</v>
      </c>
      <c r="G660" s="3" t="s">
        <v>25</v>
      </c>
      <c r="H660" s="3" t="s">
        <v>24</v>
      </c>
      <c r="I660" s="3" t="s">
        <v>25</v>
      </c>
      <c r="J660" s="3" t="s">
        <v>24</v>
      </c>
      <c r="K660" s="3" t="s">
        <v>25</v>
      </c>
      <c r="L660" s="5">
        <v>205.0</v>
      </c>
      <c r="M660" s="5">
        <v>205.0</v>
      </c>
      <c r="N660" s="5">
        <v>228.0</v>
      </c>
      <c r="O660" s="5">
        <v>638.0</v>
      </c>
      <c r="P660" s="6">
        <v>44671.0</v>
      </c>
      <c r="Q660" s="3" t="s">
        <v>24</v>
      </c>
      <c r="R660" s="3" t="s">
        <v>25</v>
      </c>
      <c r="S660" s="5">
        <v>1365135.0</v>
      </c>
      <c r="T660" s="3"/>
      <c r="U660" s="3"/>
      <c r="V660" s="3"/>
      <c r="W660" s="3"/>
      <c r="X660" s="3"/>
    </row>
    <row r="661">
      <c r="A661" s="3" t="s">
        <v>1392</v>
      </c>
      <c r="B661" s="3" t="s">
        <v>1393</v>
      </c>
      <c r="C661" s="3" t="s">
        <v>84</v>
      </c>
      <c r="D661" s="3" t="s">
        <v>22</v>
      </c>
      <c r="E661" s="3" t="s">
        <v>1271</v>
      </c>
      <c r="F661" s="3" t="s">
        <v>24</v>
      </c>
      <c r="G661" s="3" t="s">
        <v>25</v>
      </c>
      <c r="H661" s="3" t="s">
        <v>24</v>
      </c>
      <c r="I661" s="3" t="s">
        <v>25</v>
      </c>
      <c r="J661" s="3" t="s">
        <v>24</v>
      </c>
      <c r="K661" s="3" t="s">
        <v>25</v>
      </c>
      <c r="L661" s="5">
        <v>205.0</v>
      </c>
      <c r="M661" s="5">
        <v>214.0</v>
      </c>
      <c r="N661" s="5">
        <v>215.0</v>
      </c>
      <c r="O661" s="5">
        <v>634.0</v>
      </c>
      <c r="P661" s="6">
        <v>44872.0</v>
      </c>
      <c r="Q661" s="3" t="s">
        <v>24</v>
      </c>
      <c r="R661" s="3" t="s">
        <v>25</v>
      </c>
      <c r="S661" s="5">
        <v>1597835.0</v>
      </c>
      <c r="T661" s="3"/>
      <c r="U661" s="3"/>
      <c r="V661" s="3"/>
      <c r="W661" s="3"/>
      <c r="X661" s="3"/>
    </row>
    <row r="662">
      <c r="A662" s="3" t="s">
        <v>1394</v>
      </c>
      <c r="B662" s="3" t="s">
        <v>1395</v>
      </c>
      <c r="C662" s="3" t="s">
        <v>21</v>
      </c>
      <c r="D662" s="3" t="s">
        <v>59</v>
      </c>
      <c r="E662" s="3" t="s">
        <v>1271</v>
      </c>
      <c r="F662" s="3" t="s">
        <v>24</v>
      </c>
      <c r="G662" s="3" t="s">
        <v>25</v>
      </c>
      <c r="H662" s="3" t="s">
        <v>24</v>
      </c>
      <c r="I662" s="3" t="s">
        <v>25</v>
      </c>
      <c r="J662" s="3" t="s">
        <v>24</v>
      </c>
      <c r="K662" s="3" t="s">
        <v>25</v>
      </c>
      <c r="L662" s="5">
        <v>200.0</v>
      </c>
      <c r="M662" s="5">
        <v>221.0</v>
      </c>
      <c r="N662" s="5">
        <v>200.0</v>
      </c>
      <c r="O662" s="5">
        <v>621.0</v>
      </c>
      <c r="P662" s="6">
        <v>44667.0</v>
      </c>
      <c r="Q662" s="3" t="s">
        <v>24</v>
      </c>
      <c r="R662" s="3" t="s">
        <v>25</v>
      </c>
      <c r="S662" s="5">
        <v>796343.0</v>
      </c>
      <c r="T662" s="3"/>
      <c r="U662" s="3"/>
      <c r="V662" s="3"/>
      <c r="W662" s="3"/>
      <c r="X662" s="3"/>
    </row>
    <row r="663">
      <c r="A663" s="3" t="s">
        <v>1396</v>
      </c>
      <c r="B663" s="3" t="s">
        <v>1397</v>
      </c>
      <c r="C663" s="3" t="s">
        <v>21</v>
      </c>
      <c r="D663" s="3" t="s">
        <v>22</v>
      </c>
      <c r="E663" s="3" t="s">
        <v>1398</v>
      </c>
      <c r="F663" s="3" t="s">
        <v>28</v>
      </c>
      <c r="G663" s="3" t="s">
        <v>29</v>
      </c>
      <c r="H663" s="3" t="s">
        <v>30</v>
      </c>
      <c r="I663" s="3" t="s">
        <v>25</v>
      </c>
      <c r="J663" s="3" t="s">
        <v>30</v>
      </c>
      <c r="K663" s="3" t="s">
        <v>25</v>
      </c>
      <c r="L663" s="5">
        <v>535.0</v>
      </c>
      <c r="M663" s="5">
        <v>327.0</v>
      </c>
      <c r="N663" s="5">
        <v>305.0</v>
      </c>
      <c r="O663" s="5">
        <v>1167.0</v>
      </c>
      <c r="P663" s="6">
        <v>44722.0</v>
      </c>
      <c r="Q663" s="3" t="s">
        <v>31</v>
      </c>
      <c r="R663" s="3" t="s">
        <v>29</v>
      </c>
      <c r="S663" s="5">
        <v>18926.0</v>
      </c>
      <c r="T663" s="3"/>
      <c r="U663" s="3"/>
      <c r="V663" s="3"/>
      <c r="W663" s="3"/>
      <c r="X663" s="3"/>
    </row>
    <row r="664">
      <c r="A664" s="3" t="s">
        <v>1399</v>
      </c>
      <c r="B664" s="3" t="s">
        <v>1400</v>
      </c>
      <c r="C664" s="3" t="s">
        <v>21</v>
      </c>
      <c r="D664" s="3" t="s">
        <v>59</v>
      </c>
      <c r="E664" s="3" t="s">
        <v>1398</v>
      </c>
      <c r="F664" s="3" t="s">
        <v>30</v>
      </c>
      <c r="G664" s="3" t="s">
        <v>25</v>
      </c>
      <c r="H664" s="3" t="s">
        <v>30</v>
      </c>
      <c r="I664" s="3" t="s">
        <v>25</v>
      </c>
      <c r="J664" s="3" t="s">
        <v>24</v>
      </c>
      <c r="K664" s="3" t="s">
        <v>25</v>
      </c>
      <c r="L664" s="5">
        <v>342.0</v>
      </c>
      <c r="M664" s="5">
        <v>331.0</v>
      </c>
      <c r="N664" s="5">
        <v>230.0</v>
      </c>
      <c r="O664" s="5">
        <v>903.0</v>
      </c>
      <c r="P664" s="6">
        <v>44670.0</v>
      </c>
      <c r="Q664" s="3" t="s">
        <v>31</v>
      </c>
      <c r="R664" s="3" t="s">
        <v>29</v>
      </c>
      <c r="S664" s="5">
        <v>1283699.0</v>
      </c>
      <c r="T664" s="3"/>
      <c r="U664" s="3"/>
      <c r="V664" s="3"/>
      <c r="W664" s="3"/>
      <c r="X664" s="3"/>
    </row>
    <row r="665">
      <c r="A665" s="3" t="s">
        <v>1401</v>
      </c>
      <c r="B665" s="3" t="s">
        <v>1402</v>
      </c>
      <c r="C665" s="3" t="s">
        <v>21</v>
      </c>
      <c r="D665" s="3" t="s">
        <v>22</v>
      </c>
      <c r="E665" s="3" t="s">
        <v>1398</v>
      </c>
      <c r="F665" s="3" t="s">
        <v>24</v>
      </c>
      <c r="G665" s="3" t="s">
        <v>25</v>
      </c>
      <c r="H665" s="3" t="s">
        <v>24</v>
      </c>
      <c r="I665" s="3" t="s">
        <v>25</v>
      </c>
      <c r="J665" s="3" t="s">
        <v>30</v>
      </c>
      <c r="K665" s="3" t="s">
        <v>25</v>
      </c>
      <c r="L665" s="5">
        <v>210.0</v>
      </c>
      <c r="M665" s="5">
        <v>200.0</v>
      </c>
      <c r="N665" s="5">
        <v>305.0</v>
      </c>
      <c r="O665" s="5">
        <v>715.0</v>
      </c>
      <c r="P665" s="6">
        <v>44667.0</v>
      </c>
      <c r="Q665" s="3" t="s">
        <v>24</v>
      </c>
      <c r="R665" s="3" t="s">
        <v>25</v>
      </c>
      <c r="S665" s="5">
        <v>732717.0</v>
      </c>
      <c r="T665" s="3"/>
      <c r="U665" s="3"/>
      <c r="V665" s="3"/>
      <c r="W665" s="3"/>
      <c r="X665" s="3"/>
    </row>
    <row r="666">
      <c r="A666" s="3" t="s">
        <v>1403</v>
      </c>
      <c r="B666" s="3" t="s">
        <v>1404</v>
      </c>
      <c r="C666" s="3" t="s">
        <v>21</v>
      </c>
      <c r="D666" s="3" t="s">
        <v>22</v>
      </c>
      <c r="E666" s="3" t="s">
        <v>1405</v>
      </c>
      <c r="F666" s="3" t="s">
        <v>28</v>
      </c>
      <c r="G666" s="3" t="s">
        <v>29</v>
      </c>
      <c r="H666" s="3" t="s">
        <v>30</v>
      </c>
      <c r="I666" s="3" t="s">
        <v>25</v>
      </c>
      <c r="J666" s="3" t="s">
        <v>30</v>
      </c>
      <c r="K666" s="3" t="s">
        <v>25</v>
      </c>
      <c r="L666" s="5">
        <v>505.0</v>
      </c>
      <c r="M666" s="5">
        <v>301.0</v>
      </c>
      <c r="N666" s="5">
        <v>300.0</v>
      </c>
      <c r="O666" s="5">
        <v>1106.0</v>
      </c>
      <c r="P666" s="6">
        <v>44670.0</v>
      </c>
      <c r="Q666" s="3" t="s">
        <v>31</v>
      </c>
      <c r="R666" s="3" t="s">
        <v>29</v>
      </c>
      <c r="S666" s="5">
        <v>103379.0</v>
      </c>
      <c r="T666" s="3"/>
      <c r="U666" s="3"/>
      <c r="V666" s="3"/>
      <c r="W666" s="3"/>
      <c r="X666" s="3"/>
    </row>
    <row r="667">
      <c r="A667" s="3" t="s">
        <v>1406</v>
      </c>
      <c r="B667" s="3" t="s">
        <v>1407</v>
      </c>
      <c r="C667" s="3" t="s">
        <v>21</v>
      </c>
      <c r="D667" s="3" t="s">
        <v>22</v>
      </c>
      <c r="E667" s="3" t="s">
        <v>1405</v>
      </c>
      <c r="F667" s="3" t="s">
        <v>31</v>
      </c>
      <c r="G667" s="3" t="s">
        <v>29</v>
      </c>
      <c r="H667" s="3" t="s">
        <v>30</v>
      </c>
      <c r="I667" s="3" t="s">
        <v>25</v>
      </c>
      <c r="J667" s="3" t="s">
        <v>30</v>
      </c>
      <c r="K667" s="3" t="s">
        <v>25</v>
      </c>
      <c r="L667" s="5">
        <v>483.0</v>
      </c>
      <c r="M667" s="5">
        <v>310.0</v>
      </c>
      <c r="N667" s="5">
        <v>300.0</v>
      </c>
      <c r="O667" s="5">
        <v>1093.0</v>
      </c>
      <c r="P667" s="6">
        <v>44723.0</v>
      </c>
      <c r="Q667" s="3" t="s">
        <v>31</v>
      </c>
      <c r="R667" s="3" t="s">
        <v>29</v>
      </c>
      <c r="S667" s="5">
        <v>1116132.0</v>
      </c>
      <c r="T667" s="3"/>
      <c r="U667" s="3"/>
      <c r="V667" s="3"/>
      <c r="W667" s="3"/>
      <c r="X667" s="3"/>
    </row>
    <row r="668">
      <c r="A668" s="3" t="s">
        <v>1408</v>
      </c>
      <c r="B668" s="3" t="s">
        <v>1409</v>
      </c>
      <c r="C668" s="3" t="s">
        <v>21</v>
      </c>
      <c r="D668" s="3" t="s">
        <v>22</v>
      </c>
      <c r="E668" s="3" t="s">
        <v>1405</v>
      </c>
      <c r="F668" s="3" t="s">
        <v>31</v>
      </c>
      <c r="G668" s="3" t="s">
        <v>29</v>
      </c>
      <c r="H668" s="3" t="s">
        <v>30</v>
      </c>
      <c r="I668" s="3" t="s">
        <v>25</v>
      </c>
      <c r="J668" s="3" t="s">
        <v>30</v>
      </c>
      <c r="K668" s="3" t="s">
        <v>25</v>
      </c>
      <c r="L668" s="5">
        <v>420.0</v>
      </c>
      <c r="M668" s="5">
        <v>352.0</v>
      </c>
      <c r="N668" s="5">
        <v>303.0</v>
      </c>
      <c r="O668" s="5">
        <v>1075.0</v>
      </c>
      <c r="P668" s="6">
        <v>44670.0</v>
      </c>
      <c r="Q668" s="3" t="s">
        <v>31</v>
      </c>
      <c r="R668" s="3" t="s">
        <v>29</v>
      </c>
      <c r="S668" s="5">
        <v>1037038.0</v>
      </c>
      <c r="T668" s="3"/>
      <c r="U668" s="3"/>
      <c r="V668" s="3"/>
      <c r="W668" s="3"/>
      <c r="X668" s="3"/>
    </row>
    <row r="669">
      <c r="A669" s="3" t="s">
        <v>1410</v>
      </c>
      <c r="B669" s="3" t="s">
        <v>1411</v>
      </c>
      <c r="C669" s="3" t="s">
        <v>21</v>
      </c>
      <c r="D669" s="3" t="s">
        <v>22</v>
      </c>
      <c r="E669" s="3" t="s">
        <v>1405</v>
      </c>
      <c r="F669" s="3" t="s">
        <v>31</v>
      </c>
      <c r="G669" s="3" t="s">
        <v>29</v>
      </c>
      <c r="H669" s="3" t="s">
        <v>30</v>
      </c>
      <c r="I669" s="3" t="s">
        <v>25</v>
      </c>
      <c r="J669" s="3" t="s">
        <v>30</v>
      </c>
      <c r="K669" s="3" t="s">
        <v>25</v>
      </c>
      <c r="L669" s="5">
        <v>418.0</v>
      </c>
      <c r="M669" s="5">
        <v>319.0</v>
      </c>
      <c r="N669" s="5">
        <v>315.0</v>
      </c>
      <c r="O669" s="5">
        <v>1052.0</v>
      </c>
      <c r="P669" s="6">
        <v>44670.0</v>
      </c>
      <c r="Q669" s="3" t="s">
        <v>31</v>
      </c>
      <c r="R669" s="3" t="s">
        <v>29</v>
      </c>
      <c r="S669" s="5">
        <v>78239.0</v>
      </c>
      <c r="T669" s="3"/>
      <c r="U669" s="3"/>
      <c r="V669" s="3"/>
      <c r="W669" s="3"/>
      <c r="X669" s="3"/>
    </row>
    <row r="670">
      <c r="A670" s="3" t="s">
        <v>1412</v>
      </c>
      <c r="B670" s="3" t="s">
        <v>1413</v>
      </c>
      <c r="C670" s="3" t="s">
        <v>21</v>
      </c>
      <c r="D670" s="3" t="s">
        <v>59</v>
      </c>
      <c r="E670" s="3" t="s">
        <v>1405</v>
      </c>
      <c r="F670" s="3" t="s">
        <v>28</v>
      </c>
      <c r="G670" s="3" t="s">
        <v>29</v>
      </c>
      <c r="H670" s="3" t="s">
        <v>24</v>
      </c>
      <c r="I670" s="3" t="s">
        <v>25</v>
      </c>
      <c r="J670" s="3" t="s">
        <v>30</v>
      </c>
      <c r="K670" s="3" t="s">
        <v>25</v>
      </c>
      <c r="L670" s="5">
        <v>508.0</v>
      </c>
      <c r="M670" s="5">
        <v>231.0</v>
      </c>
      <c r="N670" s="5">
        <v>300.0</v>
      </c>
      <c r="O670" s="5">
        <v>1039.0</v>
      </c>
      <c r="P670" s="6">
        <v>44670.0</v>
      </c>
      <c r="Q670" s="3" t="s">
        <v>31</v>
      </c>
      <c r="R670" s="3" t="s">
        <v>29</v>
      </c>
      <c r="S670" s="5">
        <v>913241.0</v>
      </c>
      <c r="T670" s="3"/>
      <c r="U670" s="3"/>
      <c r="V670" s="3"/>
      <c r="W670" s="3"/>
      <c r="X670" s="3"/>
    </row>
    <row r="671">
      <c r="A671" s="3" t="s">
        <v>1414</v>
      </c>
      <c r="B671" s="3" t="s">
        <v>1415</v>
      </c>
      <c r="C671" s="3" t="s">
        <v>21</v>
      </c>
      <c r="D671" s="3" t="s">
        <v>22</v>
      </c>
      <c r="E671" s="3" t="s">
        <v>1405</v>
      </c>
      <c r="F671" s="3" t="s">
        <v>30</v>
      </c>
      <c r="G671" s="3" t="s">
        <v>25</v>
      </c>
      <c r="H671" s="3" t="s">
        <v>24</v>
      </c>
      <c r="I671" s="3" t="s">
        <v>25</v>
      </c>
      <c r="J671" s="3" t="s">
        <v>30</v>
      </c>
      <c r="K671" s="3" t="s">
        <v>25</v>
      </c>
      <c r="L671" s="5">
        <v>390.0</v>
      </c>
      <c r="M671" s="5">
        <v>298.0</v>
      </c>
      <c r="N671" s="5">
        <v>308.0</v>
      </c>
      <c r="O671" s="5">
        <v>996.0</v>
      </c>
      <c r="P671" s="6">
        <v>44671.0</v>
      </c>
      <c r="Q671" s="3" t="s">
        <v>31</v>
      </c>
      <c r="R671" s="3" t="s">
        <v>29</v>
      </c>
      <c r="S671" s="5">
        <v>110471.0</v>
      </c>
      <c r="T671" s="3"/>
      <c r="U671" s="3"/>
      <c r="V671" s="3"/>
      <c r="W671" s="3"/>
      <c r="X671" s="3"/>
    </row>
    <row r="672">
      <c r="A672" s="3" t="s">
        <v>1416</v>
      </c>
      <c r="B672" s="3" t="s">
        <v>1417</v>
      </c>
      <c r="C672" s="3" t="s">
        <v>21</v>
      </c>
      <c r="D672" s="3" t="s">
        <v>22</v>
      </c>
      <c r="E672" s="3" t="s">
        <v>1405</v>
      </c>
      <c r="F672" s="3" t="s">
        <v>30</v>
      </c>
      <c r="G672" s="3" t="s">
        <v>25</v>
      </c>
      <c r="H672" s="3" t="s">
        <v>24</v>
      </c>
      <c r="I672" s="3" t="s">
        <v>25</v>
      </c>
      <c r="J672" s="3" t="s">
        <v>30</v>
      </c>
      <c r="K672" s="3" t="s">
        <v>25</v>
      </c>
      <c r="L672" s="5">
        <v>310.0</v>
      </c>
      <c r="M672" s="5">
        <v>223.0</v>
      </c>
      <c r="N672" s="5">
        <v>305.0</v>
      </c>
      <c r="O672" s="5">
        <v>838.0</v>
      </c>
      <c r="P672" s="6">
        <v>44668.0</v>
      </c>
      <c r="Q672" s="3" t="s">
        <v>30</v>
      </c>
      <c r="R672" s="3" t="s">
        <v>25</v>
      </c>
      <c r="S672" s="5">
        <v>1359841.0</v>
      </c>
      <c r="T672" s="3"/>
      <c r="U672" s="3"/>
      <c r="V672" s="3"/>
      <c r="W672" s="3"/>
      <c r="X672" s="3"/>
    </row>
    <row r="673">
      <c r="A673" s="3" t="s">
        <v>1418</v>
      </c>
      <c r="B673" s="3" t="s">
        <v>1419</v>
      </c>
      <c r="C673" s="3" t="s">
        <v>21</v>
      </c>
      <c r="D673" s="3" t="s">
        <v>22</v>
      </c>
      <c r="E673" s="3" t="s">
        <v>1405</v>
      </c>
      <c r="F673" s="3" t="s">
        <v>24</v>
      </c>
      <c r="G673" s="3" t="s">
        <v>25</v>
      </c>
      <c r="H673" s="3" t="s">
        <v>24</v>
      </c>
      <c r="I673" s="3" t="s">
        <v>25</v>
      </c>
      <c r="J673" s="3" t="s">
        <v>24</v>
      </c>
      <c r="K673" s="3" t="s">
        <v>25</v>
      </c>
      <c r="L673" s="5">
        <v>205.0</v>
      </c>
      <c r="M673" s="5">
        <v>275.0</v>
      </c>
      <c r="N673" s="5">
        <v>200.0</v>
      </c>
      <c r="O673" s="5">
        <v>680.0</v>
      </c>
      <c r="P673" s="6">
        <v>44669.0</v>
      </c>
      <c r="Q673" s="3" t="s">
        <v>24</v>
      </c>
      <c r="R673" s="3" t="s">
        <v>25</v>
      </c>
      <c r="S673" s="5">
        <v>320187.0</v>
      </c>
      <c r="T673" s="3"/>
      <c r="U673" s="3"/>
      <c r="V673" s="3"/>
      <c r="W673" s="3"/>
      <c r="X673" s="3"/>
    </row>
    <row r="674">
      <c r="A674" s="3" t="s">
        <v>1420</v>
      </c>
      <c r="B674" s="3" t="s">
        <v>1421</v>
      </c>
      <c r="C674" s="3" t="s">
        <v>21</v>
      </c>
      <c r="D674" s="3" t="s">
        <v>59</v>
      </c>
      <c r="E674" s="3" t="s">
        <v>1405</v>
      </c>
      <c r="F674" s="3" t="s">
        <v>24</v>
      </c>
      <c r="G674" s="3" t="s">
        <v>25</v>
      </c>
      <c r="H674" s="3" t="s">
        <v>24</v>
      </c>
      <c r="I674" s="3" t="s">
        <v>25</v>
      </c>
      <c r="J674" s="3" t="s">
        <v>24</v>
      </c>
      <c r="K674" s="3" t="s">
        <v>25</v>
      </c>
      <c r="L674" s="5">
        <v>200.0</v>
      </c>
      <c r="M674" s="5">
        <v>211.0</v>
      </c>
      <c r="N674" s="5">
        <v>210.0</v>
      </c>
      <c r="O674" s="5">
        <v>621.0</v>
      </c>
      <c r="P674" s="6">
        <v>44668.0</v>
      </c>
      <c r="Q674" s="3" t="s">
        <v>24</v>
      </c>
      <c r="R674" s="3" t="s">
        <v>25</v>
      </c>
      <c r="S674" s="5">
        <v>943184.0</v>
      </c>
      <c r="T674" s="3"/>
      <c r="U674" s="3"/>
      <c r="V674" s="3"/>
      <c r="W674" s="3"/>
      <c r="X674" s="3"/>
    </row>
    <row r="675">
      <c r="A675" s="3" t="s">
        <v>1422</v>
      </c>
      <c r="B675" s="3" t="s">
        <v>1423</v>
      </c>
      <c r="C675" s="3" t="s">
        <v>21</v>
      </c>
      <c r="D675" s="3" t="s">
        <v>22</v>
      </c>
      <c r="E675" s="3" t="s">
        <v>1424</v>
      </c>
      <c r="F675" s="3" t="s">
        <v>28</v>
      </c>
      <c r="G675" s="3" t="s">
        <v>29</v>
      </c>
      <c r="H675" s="3" t="s">
        <v>30</v>
      </c>
      <c r="I675" s="3" t="s">
        <v>25</v>
      </c>
      <c r="J675" s="3" t="s">
        <v>30</v>
      </c>
      <c r="K675" s="3" t="s">
        <v>25</v>
      </c>
      <c r="L675" s="5">
        <v>500.0</v>
      </c>
      <c r="M675" s="5">
        <v>327.0</v>
      </c>
      <c r="N675" s="5">
        <v>341.0</v>
      </c>
      <c r="O675" s="5">
        <v>1168.0</v>
      </c>
      <c r="P675" s="6">
        <v>44667.0</v>
      </c>
      <c r="Q675" s="3" t="s">
        <v>31</v>
      </c>
      <c r="R675" s="3" t="s">
        <v>29</v>
      </c>
      <c r="S675" s="5">
        <v>764180.0</v>
      </c>
      <c r="T675" s="3"/>
      <c r="U675" s="3"/>
      <c r="V675" s="3"/>
      <c r="W675" s="3"/>
      <c r="X675" s="3"/>
    </row>
    <row r="676">
      <c r="A676" s="3" t="s">
        <v>1425</v>
      </c>
      <c r="B676" s="3" t="s">
        <v>1426</v>
      </c>
      <c r="C676" s="3" t="s">
        <v>21</v>
      </c>
      <c r="D676" s="3" t="s">
        <v>22</v>
      </c>
      <c r="E676" s="3" t="s">
        <v>1424</v>
      </c>
      <c r="F676" s="3" t="s">
        <v>28</v>
      </c>
      <c r="G676" s="3" t="s">
        <v>29</v>
      </c>
      <c r="H676" s="3" t="s">
        <v>30</v>
      </c>
      <c r="I676" s="3" t="s">
        <v>25</v>
      </c>
      <c r="J676" s="3" t="s">
        <v>30</v>
      </c>
      <c r="K676" s="3" t="s">
        <v>25</v>
      </c>
      <c r="L676" s="5">
        <v>520.0</v>
      </c>
      <c r="M676" s="5">
        <v>327.0</v>
      </c>
      <c r="N676" s="5">
        <v>315.0</v>
      </c>
      <c r="O676" s="5">
        <v>1162.0</v>
      </c>
      <c r="P676" s="6">
        <v>44669.0</v>
      </c>
      <c r="Q676" s="3" t="s">
        <v>31</v>
      </c>
      <c r="R676" s="3" t="s">
        <v>29</v>
      </c>
      <c r="S676" s="5">
        <v>1413329.0</v>
      </c>
      <c r="T676" s="3"/>
      <c r="U676" s="3"/>
      <c r="V676" s="3"/>
      <c r="W676" s="3"/>
      <c r="X676" s="3"/>
    </row>
    <row r="677">
      <c r="A677" s="3" t="s">
        <v>1427</v>
      </c>
      <c r="B677" s="3" t="s">
        <v>1428</v>
      </c>
      <c r="C677" s="3" t="s">
        <v>21</v>
      </c>
      <c r="D677" s="3" t="s">
        <v>22</v>
      </c>
      <c r="E677" s="3" t="s">
        <v>1429</v>
      </c>
      <c r="F677" s="3" t="s">
        <v>31</v>
      </c>
      <c r="G677" s="3" t="s">
        <v>29</v>
      </c>
      <c r="H677" s="3" t="s">
        <v>30</v>
      </c>
      <c r="I677" s="3" t="s">
        <v>25</v>
      </c>
      <c r="J677" s="3" t="s">
        <v>30</v>
      </c>
      <c r="K677" s="3" t="s">
        <v>25</v>
      </c>
      <c r="L677" s="5">
        <v>472.0</v>
      </c>
      <c r="M677" s="5">
        <v>318.0</v>
      </c>
      <c r="N677" s="5">
        <v>300.0</v>
      </c>
      <c r="O677" s="5">
        <v>1090.0</v>
      </c>
      <c r="P677" s="6">
        <v>44670.0</v>
      </c>
      <c r="Q677" s="3" t="s">
        <v>31</v>
      </c>
      <c r="R677" s="3" t="s">
        <v>29</v>
      </c>
      <c r="S677" s="5">
        <v>1067701.0</v>
      </c>
      <c r="T677" s="3"/>
      <c r="U677" s="3"/>
      <c r="V677" s="3"/>
      <c r="W677" s="3"/>
      <c r="X677" s="3"/>
    </row>
    <row r="678">
      <c r="A678" s="3" t="s">
        <v>1430</v>
      </c>
      <c r="B678" s="3" t="s">
        <v>1431</v>
      </c>
      <c r="C678" s="3" t="s">
        <v>21</v>
      </c>
      <c r="D678" s="3" t="s">
        <v>22</v>
      </c>
      <c r="E678" s="3" t="s">
        <v>1429</v>
      </c>
      <c r="F678" s="3" t="s">
        <v>31</v>
      </c>
      <c r="G678" s="3" t="s">
        <v>29</v>
      </c>
      <c r="H678" s="3" t="s">
        <v>30</v>
      </c>
      <c r="I678" s="3" t="s">
        <v>25</v>
      </c>
      <c r="J678" s="3" t="s">
        <v>30</v>
      </c>
      <c r="K678" s="3" t="s">
        <v>25</v>
      </c>
      <c r="L678" s="5">
        <v>477.0</v>
      </c>
      <c r="M678" s="5">
        <v>306.0</v>
      </c>
      <c r="N678" s="5">
        <v>300.0</v>
      </c>
      <c r="O678" s="5">
        <v>1083.0</v>
      </c>
      <c r="P678" s="6">
        <v>44670.0</v>
      </c>
      <c r="Q678" s="3" t="s">
        <v>31</v>
      </c>
      <c r="R678" s="3" t="s">
        <v>29</v>
      </c>
      <c r="S678" s="5">
        <v>1660734.0</v>
      </c>
      <c r="T678" s="3"/>
      <c r="U678" s="3"/>
      <c r="V678" s="3"/>
      <c r="W678" s="3"/>
      <c r="X678" s="3"/>
    </row>
    <row r="679">
      <c r="A679" s="3" t="s">
        <v>1432</v>
      </c>
      <c r="B679" s="3" t="s">
        <v>1433</v>
      </c>
      <c r="C679" s="3" t="s">
        <v>21</v>
      </c>
      <c r="D679" s="3" t="s">
        <v>22</v>
      </c>
      <c r="E679" s="3" t="s">
        <v>1429</v>
      </c>
      <c r="F679" s="3" t="s">
        <v>24</v>
      </c>
      <c r="G679" s="3" t="s">
        <v>25</v>
      </c>
      <c r="H679" s="3" t="s">
        <v>30</v>
      </c>
      <c r="I679" s="3" t="s">
        <v>25</v>
      </c>
      <c r="J679" s="3" t="s">
        <v>24</v>
      </c>
      <c r="K679" s="3" t="s">
        <v>25</v>
      </c>
      <c r="L679" s="5">
        <v>255.0</v>
      </c>
      <c r="M679" s="5">
        <v>385.0</v>
      </c>
      <c r="N679" s="5">
        <v>240.0</v>
      </c>
      <c r="O679" s="5">
        <v>880.0</v>
      </c>
      <c r="P679" s="6">
        <v>44670.0</v>
      </c>
      <c r="Q679" s="3" t="s">
        <v>30</v>
      </c>
      <c r="R679" s="3" t="s">
        <v>25</v>
      </c>
      <c r="S679" s="5">
        <v>277135.0</v>
      </c>
      <c r="T679" s="3"/>
      <c r="U679" s="3"/>
      <c r="V679" s="3"/>
      <c r="W679" s="3"/>
      <c r="X679" s="3"/>
    </row>
    <row r="680">
      <c r="A680" s="3" t="s">
        <v>1434</v>
      </c>
      <c r="B680" s="3" t="s">
        <v>1435</v>
      </c>
      <c r="C680" s="3" t="s">
        <v>21</v>
      </c>
      <c r="D680" s="3" t="s">
        <v>59</v>
      </c>
      <c r="E680" s="3" t="s">
        <v>1429</v>
      </c>
      <c r="F680" s="3" t="s">
        <v>24</v>
      </c>
      <c r="G680" s="3" t="s">
        <v>25</v>
      </c>
      <c r="H680" s="3" t="s">
        <v>30</v>
      </c>
      <c r="I680" s="3" t="s">
        <v>25</v>
      </c>
      <c r="J680" s="3" t="s">
        <v>24</v>
      </c>
      <c r="K680" s="3" t="s">
        <v>25</v>
      </c>
      <c r="L680" s="5">
        <v>230.0</v>
      </c>
      <c r="M680" s="5">
        <v>302.0</v>
      </c>
      <c r="N680" s="5">
        <v>200.0</v>
      </c>
      <c r="O680" s="5">
        <v>732.0</v>
      </c>
      <c r="P680" s="6">
        <v>44668.0</v>
      </c>
      <c r="Q680" s="3" t="s">
        <v>24</v>
      </c>
      <c r="R680" s="3" t="s">
        <v>25</v>
      </c>
      <c r="S680" s="5">
        <v>815556.0</v>
      </c>
      <c r="T680" s="3"/>
      <c r="U680" s="3"/>
      <c r="V680" s="3"/>
      <c r="W680" s="3"/>
      <c r="X680" s="3"/>
    </row>
    <row r="681">
      <c r="A681" s="3" t="s">
        <v>1436</v>
      </c>
      <c r="B681" s="3" t="s">
        <v>1437</v>
      </c>
      <c r="C681" s="3" t="s">
        <v>21</v>
      </c>
      <c r="D681" s="3" t="s">
        <v>59</v>
      </c>
      <c r="E681" s="3" t="s">
        <v>1429</v>
      </c>
      <c r="F681" s="3" t="s">
        <v>24</v>
      </c>
      <c r="G681" s="3" t="s">
        <v>25</v>
      </c>
      <c r="H681" s="3" t="s">
        <v>24</v>
      </c>
      <c r="I681" s="3" t="s">
        <v>25</v>
      </c>
      <c r="J681" s="3" t="s">
        <v>24</v>
      </c>
      <c r="K681" s="3" t="s">
        <v>25</v>
      </c>
      <c r="L681" s="5">
        <v>230.0</v>
      </c>
      <c r="M681" s="5">
        <v>201.0</v>
      </c>
      <c r="N681" s="5">
        <v>210.0</v>
      </c>
      <c r="O681" s="5">
        <v>641.0</v>
      </c>
      <c r="P681" s="6">
        <v>44668.0</v>
      </c>
      <c r="Q681" s="3" t="s">
        <v>24</v>
      </c>
      <c r="R681" s="3" t="s">
        <v>25</v>
      </c>
      <c r="S681" s="5">
        <v>1026662.0</v>
      </c>
      <c r="T681" s="3"/>
      <c r="U681" s="3"/>
      <c r="V681" s="3"/>
      <c r="W681" s="3"/>
      <c r="X681" s="3"/>
    </row>
    <row r="682">
      <c r="A682" s="3" t="s">
        <v>1438</v>
      </c>
      <c r="B682" s="3" t="s">
        <v>1439</v>
      </c>
      <c r="C682" s="3" t="s">
        <v>21</v>
      </c>
      <c r="D682" s="3" t="s">
        <v>22</v>
      </c>
      <c r="E682" s="3" t="s">
        <v>1440</v>
      </c>
      <c r="F682" s="3" t="s">
        <v>147</v>
      </c>
      <c r="G682" s="3" t="s">
        <v>148</v>
      </c>
      <c r="H682" s="3" t="s">
        <v>28</v>
      </c>
      <c r="I682" s="3" t="s">
        <v>29</v>
      </c>
      <c r="J682" s="3" t="s">
        <v>30</v>
      </c>
      <c r="K682" s="3" t="s">
        <v>25</v>
      </c>
      <c r="L682" s="5">
        <v>700.0</v>
      </c>
      <c r="M682" s="5">
        <v>513.0</v>
      </c>
      <c r="N682" s="5">
        <v>315.0</v>
      </c>
      <c r="O682" s="5">
        <v>1528.0</v>
      </c>
      <c r="P682" s="6">
        <v>44668.0</v>
      </c>
      <c r="Q682" s="3" t="s">
        <v>28</v>
      </c>
      <c r="R682" s="3" t="s">
        <v>29</v>
      </c>
      <c r="S682" s="5">
        <v>827052.0</v>
      </c>
      <c r="T682" s="3"/>
      <c r="U682" s="3"/>
      <c r="V682" s="3"/>
      <c r="W682" s="3"/>
      <c r="X682" s="3"/>
    </row>
    <row r="683">
      <c r="A683" s="3" t="s">
        <v>1441</v>
      </c>
      <c r="B683" s="3" t="s">
        <v>1442</v>
      </c>
      <c r="C683" s="3" t="s">
        <v>21</v>
      </c>
      <c r="D683" s="3" t="s">
        <v>59</v>
      </c>
      <c r="E683" s="3" t="s">
        <v>1440</v>
      </c>
      <c r="F683" s="3" t="s">
        <v>147</v>
      </c>
      <c r="G683" s="3" t="s">
        <v>148</v>
      </c>
      <c r="H683" s="3" t="s">
        <v>31</v>
      </c>
      <c r="I683" s="3" t="s">
        <v>29</v>
      </c>
      <c r="J683" s="3" t="s">
        <v>30</v>
      </c>
      <c r="K683" s="3" t="s">
        <v>25</v>
      </c>
      <c r="L683" s="5">
        <v>694.0</v>
      </c>
      <c r="M683" s="5">
        <v>403.0</v>
      </c>
      <c r="N683" s="5">
        <v>316.0</v>
      </c>
      <c r="O683" s="5">
        <v>1413.0</v>
      </c>
      <c r="P683" s="6">
        <v>44668.0</v>
      </c>
      <c r="Q683" s="3" t="s">
        <v>28</v>
      </c>
      <c r="R683" s="3" t="s">
        <v>29</v>
      </c>
      <c r="S683" s="5">
        <v>1109357.0</v>
      </c>
      <c r="T683" s="3"/>
      <c r="U683" s="3"/>
      <c r="V683" s="3"/>
      <c r="W683" s="3"/>
      <c r="X683" s="3"/>
    </row>
    <row r="684">
      <c r="A684" s="3" t="s">
        <v>1443</v>
      </c>
      <c r="B684" s="3" t="s">
        <v>1444</v>
      </c>
      <c r="C684" s="3" t="s">
        <v>21</v>
      </c>
      <c r="D684" s="3" t="s">
        <v>22</v>
      </c>
      <c r="E684" s="3" t="s">
        <v>1440</v>
      </c>
      <c r="F684" s="3" t="s">
        <v>147</v>
      </c>
      <c r="G684" s="3" t="s">
        <v>148</v>
      </c>
      <c r="H684" s="3" t="s">
        <v>31</v>
      </c>
      <c r="I684" s="3" t="s">
        <v>29</v>
      </c>
      <c r="J684" s="3" t="s">
        <v>30</v>
      </c>
      <c r="K684" s="3" t="s">
        <v>25</v>
      </c>
      <c r="L684" s="5">
        <v>629.0</v>
      </c>
      <c r="M684" s="5">
        <v>479.0</v>
      </c>
      <c r="N684" s="5">
        <v>300.0</v>
      </c>
      <c r="O684" s="5">
        <v>1408.0</v>
      </c>
      <c r="P684" s="6">
        <v>44669.0</v>
      </c>
      <c r="Q684" s="3" t="s">
        <v>28</v>
      </c>
      <c r="R684" s="3" t="s">
        <v>29</v>
      </c>
      <c r="S684" s="5">
        <v>764622.0</v>
      </c>
      <c r="T684" s="3"/>
      <c r="U684" s="3"/>
      <c r="V684" s="3"/>
      <c r="W684" s="3"/>
      <c r="X684" s="3"/>
    </row>
    <row r="685">
      <c r="A685" s="3" t="s">
        <v>1445</v>
      </c>
      <c r="B685" s="3" t="s">
        <v>1446</v>
      </c>
      <c r="C685" s="3" t="s">
        <v>21</v>
      </c>
      <c r="D685" s="3" t="s">
        <v>22</v>
      </c>
      <c r="E685" s="3" t="s">
        <v>1440</v>
      </c>
      <c r="F685" s="3" t="s">
        <v>147</v>
      </c>
      <c r="G685" s="3" t="s">
        <v>148</v>
      </c>
      <c r="H685" s="3" t="s">
        <v>30</v>
      </c>
      <c r="I685" s="3" t="s">
        <v>25</v>
      </c>
      <c r="J685" s="3" t="s">
        <v>30</v>
      </c>
      <c r="K685" s="3" t="s">
        <v>25</v>
      </c>
      <c r="L685" s="5">
        <v>700.0</v>
      </c>
      <c r="M685" s="5">
        <v>386.0</v>
      </c>
      <c r="N685" s="5">
        <v>310.0</v>
      </c>
      <c r="O685" s="5">
        <v>1396.0</v>
      </c>
      <c r="P685" s="6">
        <v>44670.0</v>
      </c>
      <c r="Q685" s="3" t="s">
        <v>28</v>
      </c>
      <c r="R685" s="3" t="s">
        <v>29</v>
      </c>
      <c r="S685" s="5">
        <v>1032208.0</v>
      </c>
      <c r="T685" s="3"/>
      <c r="U685" s="3"/>
      <c r="V685" s="3"/>
      <c r="W685" s="3"/>
      <c r="X685" s="3"/>
    </row>
    <row r="686">
      <c r="A686" s="3" t="s">
        <v>1447</v>
      </c>
      <c r="B686" s="3" t="s">
        <v>1448</v>
      </c>
      <c r="C686" s="3" t="s">
        <v>21</v>
      </c>
      <c r="D686" s="3" t="s">
        <v>22</v>
      </c>
      <c r="E686" s="3" t="s">
        <v>1440</v>
      </c>
      <c r="F686" s="3" t="s">
        <v>147</v>
      </c>
      <c r="G686" s="3" t="s">
        <v>148</v>
      </c>
      <c r="H686" s="3" t="s">
        <v>31</v>
      </c>
      <c r="I686" s="3" t="s">
        <v>29</v>
      </c>
      <c r="J686" s="3" t="s">
        <v>30</v>
      </c>
      <c r="K686" s="3" t="s">
        <v>25</v>
      </c>
      <c r="L686" s="5">
        <v>635.0</v>
      </c>
      <c r="M686" s="5">
        <v>438.0</v>
      </c>
      <c r="N686" s="5">
        <v>300.0</v>
      </c>
      <c r="O686" s="5">
        <v>1373.0</v>
      </c>
      <c r="P686" s="6">
        <v>44670.0</v>
      </c>
      <c r="Q686" s="3" t="s">
        <v>28</v>
      </c>
      <c r="R686" s="3" t="s">
        <v>29</v>
      </c>
      <c r="S686" s="5">
        <v>783325.0</v>
      </c>
      <c r="T686" s="3"/>
      <c r="U686" s="3"/>
      <c r="V686" s="3"/>
      <c r="W686" s="3"/>
      <c r="X686" s="3"/>
    </row>
    <row r="687">
      <c r="A687" s="3" t="s">
        <v>1449</v>
      </c>
      <c r="B687" s="3" t="s">
        <v>1450</v>
      </c>
      <c r="C687" s="3" t="s">
        <v>21</v>
      </c>
      <c r="D687" s="3" t="s">
        <v>22</v>
      </c>
      <c r="E687" s="3" t="s">
        <v>1440</v>
      </c>
      <c r="F687" s="3" t="s">
        <v>147</v>
      </c>
      <c r="G687" s="3" t="s">
        <v>148</v>
      </c>
      <c r="H687" s="3" t="s">
        <v>30</v>
      </c>
      <c r="I687" s="3" t="s">
        <v>25</v>
      </c>
      <c r="J687" s="3" t="s">
        <v>30</v>
      </c>
      <c r="K687" s="3" t="s">
        <v>25</v>
      </c>
      <c r="L687" s="5">
        <v>700.0</v>
      </c>
      <c r="M687" s="5">
        <v>358.0</v>
      </c>
      <c r="N687" s="5">
        <v>300.0</v>
      </c>
      <c r="O687" s="5">
        <v>1358.0</v>
      </c>
      <c r="P687" s="6">
        <v>44667.0</v>
      </c>
      <c r="Q687" s="3" t="s">
        <v>28</v>
      </c>
      <c r="R687" s="3" t="s">
        <v>29</v>
      </c>
      <c r="S687" s="5">
        <v>1047862.0</v>
      </c>
      <c r="T687" s="3"/>
      <c r="U687" s="3"/>
      <c r="V687" s="3"/>
      <c r="W687" s="3"/>
      <c r="X687" s="3"/>
    </row>
    <row r="688">
      <c r="A688" s="3" t="s">
        <v>1451</v>
      </c>
      <c r="B688" s="3" t="s">
        <v>1452</v>
      </c>
      <c r="C688" s="3" t="s">
        <v>21</v>
      </c>
      <c r="D688" s="3" t="s">
        <v>22</v>
      </c>
      <c r="E688" s="3" t="s">
        <v>1440</v>
      </c>
      <c r="F688" s="3" t="s">
        <v>147</v>
      </c>
      <c r="G688" s="3" t="s">
        <v>148</v>
      </c>
      <c r="H688" s="3" t="s">
        <v>30</v>
      </c>
      <c r="I688" s="3" t="s">
        <v>25</v>
      </c>
      <c r="J688" s="3" t="s">
        <v>30</v>
      </c>
      <c r="K688" s="3" t="s">
        <v>25</v>
      </c>
      <c r="L688" s="5">
        <v>653.0</v>
      </c>
      <c r="M688" s="5">
        <v>395.0</v>
      </c>
      <c r="N688" s="5">
        <v>300.0</v>
      </c>
      <c r="O688" s="5">
        <v>1348.0</v>
      </c>
      <c r="P688" s="6">
        <v>44667.0</v>
      </c>
      <c r="Q688" s="3" t="s">
        <v>28</v>
      </c>
      <c r="R688" s="3" t="s">
        <v>29</v>
      </c>
      <c r="S688" s="5">
        <v>1410636.0</v>
      </c>
      <c r="T688" s="3"/>
      <c r="U688" s="3"/>
      <c r="V688" s="3"/>
      <c r="W688" s="3"/>
      <c r="X688" s="3"/>
    </row>
    <row r="689">
      <c r="A689" s="3" t="s">
        <v>1453</v>
      </c>
      <c r="B689" s="3" t="s">
        <v>1454</v>
      </c>
      <c r="C689" s="3" t="s">
        <v>21</v>
      </c>
      <c r="D689" s="3" t="s">
        <v>22</v>
      </c>
      <c r="E689" s="3" t="s">
        <v>1440</v>
      </c>
      <c r="F689" s="3" t="s">
        <v>147</v>
      </c>
      <c r="G689" s="3" t="s">
        <v>148</v>
      </c>
      <c r="H689" s="3" t="s">
        <v>30</v>
      </c>
      <c r="I689" s="3" t="s">
        <v>25</v>
      </c>
      <c r="J689" s="3" t="s">
        <v>30</v>
      </c>
      <c r="K689" s="3" t="s">
        <v>25</v>
      </c>
      <c r="L689" s="5">
        <v>653.0</v>
      </c>
      <c r="M689" s="5">
        <v>380.0</v>
      </c>
      <c r="N689" s="5">
        <v>310.0</v>
      </c>
      <c r="O689" s="5">
        <v>1343.0</v>
      </c>
      <c r="P689" s="6">
        <v>44668.0</v>
      </c>
      <c r="Q689" s="3" t="s">
        <v>28</v>
      </c>
      <c r="R689" s="3" t="s">
        <v>29</v>
      </c>
      <c r="S689" s="5">
        <v>65984.0</v>
      </c>
      <c r="T689" s="3"/>
      <c r="U689" s="3"/>
      <c r="V689" s="3"/>
      <c r="W689" s="3"/>
      <c r="X689" s="3"/>
    </row>
    <row r="690">
      <c r="A690" s="3" t="s">
        <v>1455</v>
      </c>
      <c r="B690" s="3" t="s">
        <v>1456</v>
      </c>
      <c r="C690" s="3" t="s">
        <v>21</v>
      </c>
      <c r="D690" s="3" t="s">
        <v>22</v>
      </c>
      <c r="E690" s="3" t="s">
        <v>1440</v>
      </c>
      <c r="F690" s="3" t="s">
        <v>28</v>
      </c>
      <c r="G690" s="3" t="s">
        <v>29</v>
      </c>
      <c r="H690" s="3" t="s">
        <v>31</v>
      </c>
      <c r="I690" s="3" t="s">
        <v>29</v>
      </c>
      <c r="J690" s="3" t="s">
        <v>30</v>
      </c>
      <c r="K690" s="3" t="s">
        <v>25</v>
      </c>
      <c r="L690" s="5">
        <v>576.0</v>
      </c>
      <c r="M690" s="5">
        <v>409.0</v>
      </c>
      <c r="N690" s="5">
        <v>310.0</v>
      </c>
      <c r="O690" s="5">
        <v>1295.0</v>
      </c>
      <c r="P690" s="6">
        <v>44668.0</v>
      </c>
      <c r="Q690" s="3" t="s">
        <v>28</v>
      </c>
      <c r="R690" s="3" t="s">
        <v>29</v>
      </c>
      <c r="S690" s="5">
        <v>72741.0</v>
      </c>
      <c r="T690" s="3"/>
      <c r="U690" s="3"/>
      <c r="V690" s="3"/>
      <c r="W690" s="3"/>
      <c r="X690" s="3"/>
    </row>
    <row r="691">
      <c r="A691" s="3" t="s">
        <v>1457</v>
      </c>
      <c r="B691" s="3" t="s">
        <v>1458</v>
      </c>
      <c r="C691" s="3" t="s">
        <v>21</v>
      </c>
      <c r="D691" s="3" t="s">
        <v>22</v>
      </c>
      <c r="E691" s="3" t="s">
        <v>1440</v>
      </c>
      <c r="F691" s="3" t="s">
        <v>147</v>
      </c>
      <c r="G691" s="3" t="s">
        <v>148</v>
      </c>
      <c r="H691" s="3" t="s">
        <v>30</v>
      </c>
      <c r="I691" s="3" t="s">
        <v>25</v>
      </c>
      <c r="J691" s="3" t="s">
        <v>30</v>
      </c>
      <c r="K691" s="3" t="s">
        <v>25</v>
      </c>
      <c r="L691" s="5">
        <v>604.0</v>
      </c>
      <c r="M691" s="5">
        <v>362.0</v>
      </c>
      <c r="N691" s="5">
        <v>328.0</v>
      </c>
      <c r="O691" s="5">
        <v>1294.0</v>
      </c>
      <c r="P691" s="6">
        <v>44668.0</v>
      </c>
      <c r="Q691" s="3" t="s">
        <v>28</v>
      </c>
      <c r="R691" s="3" t="s">
        <v>29</v>
      </c>
      <c r="S691" s="5">
        <v>1326160.0</v>
      </c>
      <c r="T691" s="3"/>
      <c r="U691" s="3"/>
      <c r="V691" s="3"/>
      <c r="W691" s="3"/>
      <c r="X691" s="3"/>
    </row>
    <row r="692">
      <c r="A692" s="3" t="s">
        <v>1459</v>
      </c>
      <c r="B692" s="3" t="s">
        <v>1460</v>
      </c>
      <c r="C692" s="3" t="s">
        <v>21</v>
      </c>
      <c r="D692" s="3" t="s">
        <v>22</v>
      </c>
      <c r="E692" s="3" t="s">
        <v>1440</v>
      </c>
      <c r="F692" s="3" t="s">
        <v>147</v>
      </c>
      <c r="G692" s="3" t="s">
        <v>148</v>
      </c>
      <c r="H692" s="3" t="s">
        <v>30</v>
      </c>
      <c r="I692" s="3" t="s">
        <v>25</v>
      </c>
      <c r="J692" s="3" t="s">
        <v>30</v>
      </c>
      <c r="K692" s="3" t="s">
        <v>25</v>
      </c>
      <c r="L692" s="5">
        <v>668.0</v>
      </c>
      <c r="M692" s="5">
        <v>306.0</v>
      </c>
      <c r="N692" s="5">
        <v>313.0</v>
      </c>
      <c r="O692" s="5">
        <v>1287.0</v>
      </c>
      <c r="P692" s="6">
        <v>44669.0</v>
      </c>
      <c r="Q692" s="3" t="s">
        <v>28</v>
      </c>
      <c r="R692" s="3" t="s">
        <v>29</v>
      </c>
      <c r="S692" s="5">
        <v>753308.0</v>
      </c>
      <c r="T692" s="3"/>
      <c r="U692" s="3"/>
      <c r="V692" s="3"/>
      <c r="W692" s="3"/>
      <c r="X692" s="3"/>
    </row>
    <row r="693">
      <c r="A693" s="3" t="s">
        <v>1461</v>
      </c>
      <c r="B693" s="3" t="s">
        <v>1462</v>
      </c>
      <c r="C693" s="3" t="s">
        <v>21</v>
      </c>
      <c r="D693" s="3" t="s">
        <v>22</v>
      </c>
      <c r="E693" s="3" t="s">
        <v>1440</v>
      </c>
      <c r="F693" s="3" t="s">
        <v>28</v>
      </c>
      <c r="G693" s="3" t="s">
        <v>29</v>
      </c>
      <c r="H693" s="3" t="s">
        <v>30</v>
      </c>
      <c r="I693" s="3" t="s">
        <v>25</v>
      </c>
      <c r="J693" s="3" t="s">
        <v>30</v>
      </c>
      <c r="K693" s="3" t="s">
        <v>25</v>
      </c>
      <c r="L693" s="5">
        <v>572.0</v>
      </c>
      <c r="M693" s="5">
        <v>368.0</v>
      </c>
      <c r="N693" s="5">
        <v>315.0</v>
      </c>
      <c r="O693" s="5">
        <v>1255.0</v>
      </c>
      <c r="P693" s="6">
        <v>44667.0</v>
      </c>
      <c r="Q693" s="3" t="s">
        <v>28</v>
      </c>
      <c r="R693" s="3" t="s">
        <v>29</v>
      </c>
      <c r="S693" s="5">
        <v>731802.0</v>
      </c>
      <c r="T693" s="3"/>
      <c r="U693" s="3"/>
      <c r="V693" s="3"/>
      <c r="W693" s="3"/>
      <c r="X693" s="3"/>
    </row>
    <row r="694">
      <c r="A694" s="3" t="s">
        <v>1463</v>
      </c>
      <c r="B694" s="3" t="s">
        <v>1464</v>
      </c>
      <c r="C694" s="3" t="s">
        <v>21</v>
      </c>
      <c r="D694" s="3" t="s">
        <v>22</v>
      </c>
      <c r="E694" s="3" t="s">
        <v>1440</v>
      </c>
      <c r="F694" s="3" t="s">
        <v>28</v>
      </c>
      <c r="G694" s="3" t="s">
        <v>29</v>
      </c>
      <c r="H694" s="3" t="s">
        <v>30</v>
      </c>
      <c r="I694" s="3" t="s">
        <v>25</v>
      </c>
      <c r="J694" s="3" t="s">
        <v>30</v>
      </c>
      <c r="K694" s="3" t="s">
        <v>25</v>
      </c>
      <c r="L694" s="5">
        <v>585.0</v>
      </c>
      <c r="M694" s="5">
        <v>348.0</v>
      </c>
      <c r="N694" s="5">
        <v>310.0</v>
      </c>
      <c r="O694" s="5">
        <v>1243.0</v>
      </c>
      <c r="P694" s="6">
        <v>44872.0</v>
      </c>
      <c r="Q694" s="3" t="s">
        <v>28</v>
      </c>
      <c r="R694" s="3" t="s">
        <v>29</v>
      </c>
      <c r="S694" s="5">
        <v>354707.0</v>
      </c>
      <c r="T694" s="3"/>
      <c r="U694" s="3"/>
      <c r="V694" s="3"/>
      <c r="W694" s="3"/>
      <c r="X694" s="3"/>
    </row>
    <row r="695">
      <c r="A695" s="3" t="s">
        <v>1465</v>
      </c>
      <c r="B695" s="3" t="s">
        <v>1466</v>
      </c>
      <c r="C695" s="3" t="s">
        <v>21</v>
      </c>
      <c r="D695" s="3" t="s">
        <v>22</v>
      </c>
      <c r="E695" s="3" t="s">
        <v>1440</v>
      </c>
      <c r="F695" s="3" t="s">
        <v>28</v>
      </c>
      <c r="G695" s="3" t="s">
        <v>29</v>
      </c>
      <c r="H695" s="3" t="s">
        <v>30</v>
      </c>
      <c r="I695" s="3" t="s">
        <v>25</v>
      </c>
      <c r="J695" s="3" t="s">
        <v>30</v>
      </c>
      <c r="K695" s="3" t="s">
        <v>25</v>
      </c>
      <c r="L695" s="5">
        <v>525.0</v>
      </c>
      <c r="M695" s="5">
        <v>326.0</v>
      </c>
      <c r="N695" s="5">
        <v>370.0</v>
      </c>
      <c r="O695" s="5">
        <v>1221.0</v>
      </c>
      <c r="P695" s="6">
        <v>44667.0</v>
      </c>
      <c r="Q695" s="3" t="s">
        <v>28</v>
      </c>
      <c r="R695" s="3" t="s">
        <v>29</v>
      </c>
      <c r="S695" s="5">
        <v>874761.0</v>
      </c>
      <c r="T695" s="3"/>
      <c r="U695" s="3"/>
      <c r="V695" s="3"/>
      <c r="W695" s="3"/>
      <c r="X695" s="3"/>
    </row>
    <row r="696">
      <c r="A696" s="3" t="s">
        <v>1467</v>
      </c>
      <c r="B696" s="3" t="s">
        <v>1468</v>
      </c>
      <c r="C696" s="3" t="s">
        <v>21</v>
      </c>
      <c r="D696" s="3" t="s">
        <v>22</v>
      </c>
      <c r="E696" s="3" t="s">
        <v>1440</v>
      </c>
      <c r="F696" s="3" t="s">
        <v>28</v>
      </c>
      <c r="G696" s="3" t="s">
        <v>29</v>
      </c>
      <c r="H696" s="3" t="s">
        <v>30</v>
      </c>
      <c r="I696" s="3" t="s">
        <v>25</v>
      </c>
      <c r="J696" s="3" t="s">
        <v>30</v>
      </c>
      <c r="K696" s="3" t="s">
        <v>25</v>
      </c>
      <c r="L696" s="5">
        <v>562.0</v>
      </c>
      <c r="M696" s="5">
        <v>345.0</v>
      </c>
      <c r="N696" s="5">
        <v>300.0</v>
      </c>
      <c r="O696" s="5">
        <v>1207.0</v>
      </c>
      <c r="P696" s="6">
        <v>44667.0</v>
      </c>
      <c r="Q696" s="3" t="s">
        <v>28</v>
      </c>
      <c r="R696" s="3" t="s">
        <v>29</v>
      </c>
      <c r="S696" s="5">
        <v>1002910.0</v>
      </c>
      <c r="T696" s="3"/>
      <c r="U696" s="3"/>
      <c r="V696" s="3"/>
      <c r="W696" s="3"/>
      <c r="X696" s="3"/>
    </row>
    <row r="697">
      <c r="A697" s="3" t="s">
        <v>1469</v>
      </c>
      <c r="B697" s="3" t="s">
        <v>1470</v>
      </c>
      <c r="C697" s="3" t="s">
        <v>21</v>
      </c>
      <c r="D697" s="3" t="s">
        <v>22</v>
      </c>
      <c r="E697" s="3" t="s">
        <v>1440</v>
      </c>
      <c r="F697" s="3" t="s">
        <v>31</v>
      </c>
      <c r="G697" s="3" t="s">
        <v>29</v>
      </c>
      <c r="H697" s="3" t="s">
        <v>147</v>
      </c>
      <c r="I697" s="3" t="s">
        <v>148</v>
      </c>
      <c r="J697" s="3" t="s">
        <v>1471</v>
      </c>
      <c r="K697" s="3" t="s">
        <v>79</v>
      </c>
      <c r="L697" s="5">
        <v>450.0</v>
      </c>
      <c r="M697" s="5">
        <v>667.0</v>
      </c>
      <c r="N697" s="5">
        <v>75.0</v>
      </c>
      <c r="O697" s="5">
        <v>1192.0</v>
      </c>
      <c r="P697" s="6">
        <v>44667.0</v>
      </c>
      <c r="Q697" s="3" t="s">
        <v>31</v>
      </c>
      <c r="R697" s="3" t="s">
        <v>29</v>
      </c>
      <c r="S697" s="5">
        <v>811156.0</v>
      </c>
      <c r="T697" s="3"/>
      <c r="U697" s="3"/>
      <c r="V697" s="3"/>
      <c r="W697" s="3"/>
      <c r="X697" s="3"/>
    </row>
    <row r="698">
      <c r="A698" s="3" t="s">
        <v>1472</v>
      </c>
      <c r="B698" s="3" t="s">
        <v>1473</v>
      </c>
      <c r="C698" s="3" t="s">
        <v>21</v>
      </c>
      <c r="D698" s="3" t="s">
        <v>22</v>
      </c>
      <c r="E698" s="3" t="s">
        <v>1440</v>
      </c>
      <c r="F698" s="3" t="s">
        <v>28</v>
      </c>
      <c r="G698" s="3" t="s">
        <v>29</v>
      </c>
      <c r="H698" s="3" t="s">
        <v>30</v>
      </c>
      <c r="I698" s="3" t="s">
        <v>25</v>
      </c>
      <c r="J698" s="3" t="s">
        <v>30</v>
      </c>
      <c r="K698" s="3" t="s">
        <v>25</v>
      </c>
      <c r="L698" s="5">
        <v>535.0</v>
      </c>
      <c r="M698" s="5">
        <v>325.0</v>
      </c>
      <c r="N698" s="5">
        <v>310.0</v>
      </c>
      <c r="O698" s="5">
        <v>1170.0</v>
      </c>
      <c r="P698" s="6">
        <v>44668.0</v>
      </c>
      <c r="Q698" s="3" t="s">
        <v>31</v>
      </c>
      <c r="R698" s="3" t="s">
        <v>29</v>
      </c>
      <c r="S698" s="5">
        <v>715957.0</v>
      </c>
      <c r="T698" s="3"/>
      <c r="U698" s="3"/>
      <c r="V698" s="3"/>
      <c r="W698" s="3"/>
      <c r="X698" s="3"/>
    </row>
    <row r="699">
      <c r="A699" s="3" t="s">
        <v>1474</v>
      </c>
      <c r="B699" s="3" t="s">
        <v>1475</v>
      </c>
      <c r="C699" s="3" t="s">
        <v>21</v>
      </c>
      <c r="D699" s="3" t="s">
        <v>22</v>
      </c>
      <c r="E699" s="3" t="s">
        <v>1440</v>
      </c>
      <c r="F699" s="3" t="s">
        <v>28</v>
      </c>
      <c r="G699" s="3" t="s">
        <v>29</v>
      </c>
      <c r="H699" s="3" t="s">
        <v>30</v>
      </c>
      <c r="I699" s="3" t="s">
        <v>25</v>
      </c>
      <c r="J699" s="3" t="s">
        <v>30</v>
      </c>
      <c r="K699" s="3" t="s">
        <v>25</v>
      </c>
      <c r="L699" s="5">
        <v>555.0</v>
      </c>
      <c r="M699" s="5">
        <v>310.0</v>
      </c>
      <c r="N699" s="5">
        <v>300.0</v>
      </c>
      <c r="O699" s="5">
        <v>1165.0</v>
      </c>
      <c r="P699" s="6">
        <v>44722.0</v>
      </c>
      <c r="Q699" s="3" t="s">
        <v>31</v>
      </c>
      <c r="R699" s="3" t="s">
        <v>29</v>
      </c>
      <c r="S699" s="5">
        <v>1711269.0</v>
      </c>
      <c r="T699" s="3"/>
      <c r="U699" s="3"/>
      <c r="V699" s="3"/>
      <c r="W699" s="3"/>
      <c r="X699" s="3"/>
    </row>
    <row r="700">
      <c r="A700" s="3" t="s">
        <v>1476</v>
      </c>
      <c r="B700" s="3" t="s">
        <v>1477</v>
      </c>
      <c r="C700" s="3" t="s">
        <v>21</v>
      </c>
      <c r="D700" s="3" t="s">
        <v>22</v>
      </c>
      <c r="E700" s="3" t="s">
        <v>1440</v>
      </c>
      <c r="F700" s="3" t="s">
        <v>28</v>
      </c>
      <c r="G700" s="3" t="s">
        <v>29</v>
      </c>
      <c r="H700" s="3" t="s">
        <v>30</v>
      </c>
      <c r="I700" s="3" t="s">
        <v>25</v>
      </c>
      <c r="J700" s="3" t="s">
        <v>30</v>
      </c>
      <c r="K700" s="3" t="s">
        <v>25</v>
      </c>
      <c r="L700" s="5">
        <v>515.0</v>
      </c>
      <c r="M700" s="5">
        <v>307.0</v>
      </c>
      <c r="N700" s="5">
        <v>330.0</v>
      </c>
      <c r="O700" s="5">
        <v>1152.0</v>
      </c>
      <c r="P700" s="6">
        <v>44670.0</v>
      </c>
      <c r="Q700" s="3" t="s">
        <v>31</v>
      </c>
      <c r="R700" s="3" t="s">
        <v>29</v>
      </c>
      <c r="S700" s="5">
        <v>92122.0</v>
      </c>
      <c r="T700" s="3"/>
      <c r="U700" s="3"/>
      <c r="V700" s="3"/>
      <c r="W700" s="3"/>
      <c r="X700" s="3"/>
    </row>
    <row r="701">
      <c r="A701" s="3" t="s">
        <v>1478</v>
      </c>
      <c r="B701" s="3" t="s">
        <v>1479</v>
      </c>
      <c r="C701" s="3" t="s">
        <v>21</v>
      </c>
      <c r="D701" s="3" t="s">
        <v>22</v>
      </c>
      <c r="E701" s="3" t="s">
        <v>1440</v>
      </c>
      <c r="F701" s="3" t="s">
        <v>28</v>
      </c>
      <c r="G701" s="3" t="s">
        <v>29</v>
      </c>
      <c r="H701" s="3" t="s">
        <v>30</v>
      </c>
      <c r="I701" s="3" t="s">
        <v>25</v>
      </c>
      <c r="J701" s="3" t="s">
        <v>30</v>
      </c>
      <c r="K701" s="3" t="s">
        <v>25</v>
      </c>
      <c r="L701" s="5">
        <v>525.0</v>
      </c>
      <c r="M701" s="5">
        <v>306.0</v>
      </c>
      <c r="N701" s="5">
        <v>300.0</v>
      </c>
      <c r="O701" s="5">
        <v>1131.0</v>
      </c>
      <c r="P701" s="6">
        <v>44669.0</v>
      </c>
      <c r="Q701" s="3" t="s">
        <v>31</v>
      </c>
      <c r="R701" s="3" t="s">
        <v>29</v>
      </c>
      <c r="S701" s="5">
        <v>922224.0</v>
      </c>
      <c r="T701" s="3"/>
      <c r="U701" s="3"/>
      <c r="V701" s="3"/>
      <c r="W701" s="3"/>
      <c r="X701" s="3"/>
    </row>
    <row r="702">
      <c r="A702" s="3" t="s">
        <v>1480</v>
      </c>
      <c r="B702" s="3" t="s">
        <v>1481</v>
      </c>
      <c r="C702" s="3" t="s">
        <v>21</v>
      </c>
      <c r="D702" s="3" t="s">
        <v>22</v>
      </c>
      <c r="E702" s="3" t="s">
        <v>1440</v>
      </c>
      <c r="F702" s="3" t="s">
        <v>28</v>
      </c>
      <c r="G702" s="3" t="s">
        <v>29</v>
      </c>
      <c r="H702" s="3" t="s">
        <v>30</v>
      </c>
      <c r="I702" s="3" t="s">
        <v>25</v>
      </c>
      <c r="J702" s="3" t="s">
        <v>24</v>
      </c>
      <c r="K702" s="3" t="s">
        <v>25</v>
      </c>
      <c r="L702" s="5">
        <v>550.0</v>
      </c>
      <c r="M702" s="5">
        <v>320.0</v>
      </c>
      <c r="N702" s="5">
        <v>260.0</v>
      </c>
      <c r="O702" s="5">
        <v>1130.0</v>
      </c>
      <c r="P702" s="6">
        <v>44667.0</v>
      </c>
      <c r="Q702" s="3" t="s">
        <v>31</v>
      </c>
      <c r="R702" s="3" t="s">
        <v>29</v>
      </c>
      <c r="S702" s="5">
        <v>1130310.0</v>
      </c>
      <c r="T702" s="3"/>
      <c r="U702" s="3"/>
      <c r="V702" s="3"/>
      <c r="W702" s="3"/>
      <c r="X702" s="3"/>
    </row>
    <row r="703">
      <c r="A703" s="3" t="s">
        <v>1482</v>
      </c>
      <c r="B703" s="3" t="s">
        <v>1483</v>
      </c>
      <c r="C703" s="3" t="s">
        <v>21</v>
      </c>
      <c r="D703" s="3" t="s">
        <v>59</v>
      </c>
      <c r="E703" s="3" t="s">
        <v>1440</v>
      </c>
      <c r="F703" s="3" t="s">
        <v>28</v>
      </c>
      <c r="G703" s="3" t="s">
        <v>29</v>
      </c>
      <c r="H703" s="3" t="s">
        <v>30</v>
      </c>
      <c r="I703" s="3" t="s">
        <v>25</v>
      </c>
      <c r="J703" s="3" t="s">
        <v>30</v>
      </c>
      <c r="K703" s="3" t="s">
        <v>25</v>
      </c>
      <c r="L703" s="5">
        <v>519.0</v>
      </c>
      <c r="M703" s="5">
        <v>307.0</v>
      </c>
      <c r="N703" s="5">
        <v>300.0</v>
      </c>
      <c r="O703" s="5">
        <v>1126.0</v>
      </c>
      <c r="P703" s="6">
        <v>44667.0</v>
      </c>
      <c r="Q703" s="3" t="s">
        <v>31</v>
      </c>
      <c r="R703" s="3" t="s">
        <v>29</v>
      </c>
      <c r="S703" s="5">
        <v>352541.0</v>
      </c>
      <c r="T703" s="3"/>
      <c r="U703" s="3"/>
      <c r="V703" s="3"/>
      <c r="W703" s="3"/>
      <c r="X703" s="3"/>
    </row>
    <row r="704">
      <c r="A704" s="3" t="s">
        <v>1484</v>
      </c>
      <c r="B704" s="3" t="s">
        <v>1485</v>
      </c>
      <c r="C704" s="3" t="s">
        <v>21</v>
      </c>
      <c r="D704" s="3" t="s">
        <v>22</v>
      </c>
      <c r="E704" s="3" t="s">
        <v>1440</v>
      </c>
      <c r="F704" s="3" t="s">
        <v>28</v>
      </c>
      <c r="G704" s="3" t="s">
        <v>29</v>
      </c>
      <c r="H704" s="3" t="s">
        <v>30</v>
      </c>
      <c r="I704" s="3" t="s">
        <v>25</v>
      </c>
      <c r="J704" s="3" t="s">
        <v>24</v>
      </c>
      <c r="K704" s="3" t="s">
        <v>25</v>
      </c>
      <c r="L704" s="5">
        <v>592.0</v>
      </c>
      <c r="M704" s="5">
        <v>313.0</v>
      </c>
      <c r="N704" s="5">
        <v>210.0</v>
      </c>
      <c r="O704" s="5">
        <v>1115.0</v>
      </c>
      <c r="P704" s="6">
        <v>44668.0</v>
      </c>
      <c r="Q704" s="3" t="s">
        <v>31</v>
      </c>
      <c r="R704" s="3" t="s">
        <v>29</v>
      </c>
      <c r="S704" s="5">
        <v>936340.0</v>
      </c>
      <c r="T704" s="3"/>
      <c r="U704" s="3"/>
      <c r="V704" s="3"/>
      <c r="W704" s="3"/>
      <c r="X704" s="3"/>
    </row>
    <row r="705">
      <c r="A705" s="3" t="s">
        <v>1486</v>
      </c>
      <c r="B705" s="3" t="s">
        <v>1487</v>
      </c>
      <c r="C705" s="3" t="s">
        <v>21</v>
      </c>
      <c r="D705" s="3" t="s">
        <v>22</v>
      </c>
      <c r="E705" s="3" t="s">
        <v>1440</v>
      </c>
      <c r="F705" s="3" t="s">
        <v>28</v>
      </c>
      <c r="G705" s="3" t="s">
        <v>29</v>
      </c>
      <c r="H705" s="3" t="s">
        <v>30</v>
      </c>
      <c r="I705" s="3" t="s">
        <v>25</v>
      </c>
      <c r="J705" s="3" t="s">
        <v>30</v>
      </c>
      <c r="K705" s="3" t="s">
        <v>25</v>
      </c>
      <c r="L705" s="5">
        <v>510.0</v>
      </c>
      <c r="M705" s="5">
        <v>304.0</v>
      </c>
      <c r="N705" s="5">
        <v>300.0</v>
      </c>
      <c r="O705" s="5">
        <v>1114.0</v>
      </c>
      <c r="P705" s="6">
        <v>44668.0</v>
      </c>
      <c r="Q705" s="3" t="s">
        <v>31</v>
      </c>
      <c r="R705" s="3" t="s">
        <v>29</v>
      </c>
      <c r="S705" s="5">
        <v>1031296.0</v>
      </c>
      <c r="T705" s="3"/>
      <c r="U705" s="3"/>
      <c r="V705" s="3"/>
      <c r="W705" s="3"/>
      <c r="X705" s="3"/>
    </row>
    <row r="706">
      <c r="A706" s="3" t="s">
        <v>1488</v>
      </c>
      <c r="B706" s="3" t="s">
        <v>1489</v>
      </c>
      <c r="C706" s="3" t="s">
        <v>21</v>
      </c>
      <c r="D706" s="3" t="s">
        <v>59</v>
      </c>
      <c r="E706" s="3" t="s">
        <v>1440</v>
      </c>
      <c r="F706" s="3" t="s">
        <v>28</v>
      </c>
      <c r="G706" s="3" t="s">
        <v>29</v>
      </c>
      <c r="H706" s="3" t="s">
        <v>30</v>
      </c>
      <c r="I706" s="3" t="s">
        <v>25</v>
      </c>
      <c r="J706" s="3" t="s">
        <v>30</v>
      </c>
      <c r="K706" s="3" t="s">
        <v>25</v>
      </c>
      <c r="L706" s="5">
        <v>500.0</v>
      </c>
      <c r="M706" s="5">
        <v>300.0</v>
      </c>
      <c r="N706" s="5">
        <v>300.0</v>
      </c>
      <c r="O706" s="5">
        <v>1100.0</v>
      </c>
      <c r="P706" s="6">
        <v>44671.0</v>
      </c>
      <c r="Q706" s="3" t="s">
        <v>31</v>
      </c>
      <c r="R706" s="3" t="s">
        <v>29</v>
      </c>
      <c r="S706" s="5">
        <v>4904.0</v>
      </c>
      <c r="T706" s="3"/>
      <c r="U706" s="3"/>
      <c r="V706" s="3"/>
      <c r="W706" s="3"/>
      <c r="X706" s="3"/>
    </row>
    <row r="707">
      <c r="A707" s="3" t="s">
        <v>1490</v>
      </c>
      <c r="B707" s="3" t="s">
        <v>1491</v>
      </c>
      <c r="C707" s="3" t="s">
        <v>21</v>
      </c>
      <c r="D707" s="3" t="s">
        <v>22</v>
      </c>
      <c r="E707" s="3" t="s">
        <v>1440</v>
      </c>
      <c r="F707" s="3" t="s">
        <v>28</v>
      </c>
      <c r="G707" s="3" t="s">
        <v>29</v>
      </c>
      <c r="H707" s="3" t="s">
        <v>30</v>
      </c>
      <c r="I707" s="3" t="s">
        <v>25</v>
      </c>
      <c r="J707" s="3" t="s">
        <v>24</v>
      </c>
      <c r="K707" s="3" t="s">
        <v>25</v>
      </c>
      <c r="L707" s="5">
        <v>500.0</v>
      </c>
      <c r="M707" s="5">
        <v>300.0</v>
      </c>
      <c r="N707" s="5">
        <v>205.0</v>
      </c>
      <c r="O707" s="5">
        <v>1005.0</v>
      </c>
      <c r="P707" s="6">
        <v>44670.0</v>
      </c>
      <c r="Q707" s="3" t="s">
        <v>31</v>
      </c>
      <c r="R707" s="3" t="s">
        <v>29</v>
      </c>
      <c r="S707" s="5">
        <v>788784.0</v>
      </c>
      <c r="T707" s="3"/>
      <c r="U707" s="3"/>
      <c r="V707" s="3"/>
      <c r="W707" s="3"/>
      <c r="X707" s="3"/>
    </row>
    <row r="708">
      <c r="A708" s="3" t="s">
        <v>1492</v>
      </c>
      <c r="B708" s="3" t="s">
        <v>1493</v>
      </c>
      <c r="C708" s="3" t="s">
        <v>21</v>
      </c>
      <c r="D708" s="3" t="s">
        <v>22</v>
      </c>
      <c r="E708" s="3" t="s">
        <v>1440</v>
      </c>
      <c r="F708" s="3" t="s">
        <v>30</v>
      </c>
      <c r="G708" s="3" t="s">
        <v>25</v>
      </c>
      <c r="H708" s="3" t="s">
        <v>30</v>
      </c>
      <c r="I708" s="3" t="s">
        <v>25</v>
      </c>
      <c r="J708" s="3" t="s">
        <v>24</v>
      </c>
      <c r="K708" s="3" t="s">
        <v>25</v>
      </c>
      <c r="L708" s="5">
        <v>371.0</v>
      </c>
      <c r="M708" s="5">
        <v>327.0</v>
      </c>
      <c r="N708" s="5">
        <v>218.0</v>
      </c>
      <c r="O708" s="5">
        <v>916.0</v>
      </c>
      <c r="P708" s="6">
        <v>44669.0</v>
      </c>
      <c r="Q708" s="3" t="s">
        <v>31</v>
      </c>
      <c r="R708" s="3" t="s">
        <v>29</v>
      </c>
      <c r="S708" s="5">
        <v>1013871.0</v>
      </c>
      <c r="T708" s="3"/>
      <c r="U708" s="3"/>
      <c r="V708" s="3"/>
      <c r="W708" s="3"/>
      <c r="X708" s="3"/>
    </row>
    <row r="709">
      <c r="A709" s="3" t="s">
        <v>1494</v>
      </c>
      <c r="B709" s="3" t="s">
        <v>1495</v>
      </c>
      <c r="C709" s="3" t="s">
        <v>21</v>
      </c>
      <c r="D709" s="3" t="s">
        <v>22</v>
      </c>
      <c r="E709" s="3" t="s">
        <v>1440</v>
      </c>
      <c r="F709" s="3" t="s">
        <v>30</v>
      </c>
      <c r="G709" s="3" t="s">
        <v>25</v>
      </c>
      <c r="H709" s="3" t="s">
        <v>30</v>
      </c>
      <c r="I709" s="3" t="s">
        <v>25</v>
      </c>
      <c r="J709" s="3" t="s">
        <v>24</v>
      </c>
      <c r="K709" s="3" t="s">
        <v>25</v>
      </c>
      <c r="L709" s="5">
        <v>361.0</v>
      </c>
      <c r="M709" s="5">
        <v>322.0</v>
      </c>
      <c r="N709" s="5">
        <v>223.0</v>
      </c>
      <c r="O709" s="5">
        <v>906.0</v>
      </c>
      <c r="P709" s="6">
        <v>44669.0</v>
      </c>
      <c r="Q709" s="3" t="s">
        <v>31</v>
      </c>
      <c r="R709" s="3" t="s">
        <v>29</v>
      </c>
      <c r="S709" s="5">
        <v>1111711.0</v>
      </c>
      <c r="T709" s="3"/>
      <c r="U709" s="3"/>
      <c r="V709" s="3"/>
      <c r="W709" s="3"/>
      <c r="X709" s="3"/>
    </row>
    <row r="710">
      <c r="A710" s="3" t="s">
        <v>1496</v>
      </c>
      <c r="B710" s="3" t="s">
        <v>1497</v>
      </c>
      <c r="C710" s="3" t="s">
        <v>21</v>
      </c>
      <c r="D710" s="3" t="s">
        <v>59</v>
      </c>
      <c r="E710" s="3" t="s">
        <v>1440</v>
      </c>
      <c r="F710" s="3" t="s">
        <v>30</v>
      </c>
      <c r="G710" s="3" t="s">
        <v>25</v>
      </c>
      <c r="H710" s="3" t="s">
        <v>24</v>
      </c>
      <c r="I710" s="3" t="s">
        <v>25</v>
      </c>
      <c r="J710" s="3" t="s">
        <v>24</v>
      </c>
      <c r="K710" s="3" t="s">
        <v>25</v>
      </c>
      <c r="L710" s="5">
        <v>367.0</v>
      </c>
      <c r="M710" s="5">
        <v>297.0</v>
      </c>
      <c r="N710" s="5">
        <v>235.0</v>
      </c>
      <c r="O710" s="5">
        <v>899.0</v>
      </c>
      <c r="P710" s="6">
        <v>44668.0</v>
      </c>
      <c r="Q710" s="3" t="s">
        <v>30</v>
      </c>
      <c r="R710" s="3" t="s">
        <v>25</v>
      </c>
      <c r="S710" s="5">
        <v>1434728.0</v>
      </c>
      <c r="T710" s="3"/>
      <c r="U710" s="3"/>
      <c r="V710" s="3"/>
      <c r="W710" s="3"/>
      <c r="X710" s="3"/>
    </row>
    <row r="711">
      <c r="A711" s="3" t="s">
        <v>1498</v>
      </c>
      <c r="B711" s="3" t="s">
        <v>1499</v>
      </c>
      <c r="C711" s="3" t="s">
        <v>21</v>
      </c>
      <c r="D711" s="3" t="s">
        <v>59</v>
      </c>
      <c r="E711" s="3" t="s">
        <v>1440</v>
      </c>
      <c r="F711" s="3" t="s">
        <v>24</v>
      </c>
      <c r="G711" s="3" t="s">
        <v>25</v>
      </c>
      <c r="H711" s="3" t="s">
        <v>24</v>
      </c>
      <c r="I711" s="3" t="s">
        <v>25</v>
      </c>
      <c r="J711" s="3" t="s">
        <v>24</v>
      </c>
      <c r="K711" s="3" t="s">
        <v>25</v>
      </c>
      <c r="L711" s="5">
        <v>223.0</v>
      </c>
      <c r="M711" s="5">
        <v>201.0</v>
      </c>
      <c r="N711" s="5">
        <v>205.0</v>
      </c>
      <c r="O711" s="5">
        <v>629.0</v>
      </c>
      <c r="P711" s="6">
        <v>44671.0</v>
      </c>
      <c r="Q711" s="3" t="s">
        <v>24</v>
      </c>
      <c r="R711" s="3" t="s">
        <v>25</v>
      </c>
      <c r="S711" s="5">
        <v>72903.0</v>
      </c>
      <c r="T711" s="3"/>
      <c r="U711" s="3"/>
      <c r="V711" s="3"/>
      <c r="W711" s="3"/>
      <c r="X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2" max="2" width="27.63"/>
    <col customWidth="1" min="3" max="3" width="14.88"/>
    <col customWidth="1" min="4" max="4" width="15.25"/>
    <col customWidth="1" min="5" max="5" width="17.63"/>
    <col customWidth="1" min="6" max="6" width="14.88"/>
    <col customWidth="1" min="7" max="7" width="15.25"/>
    <col customWidth="1" min="8" max="8" width="17.63"/>
    <col customWidth="1" min="9" max="9" width="15.0"/>
    <col customWidth="1" min="10" max="10" width="15.5"/>
    <col customWidth="1" min="11" max="11" width="17.75"/>
    <col customWidth="1" min="12" max="12" width="17.63"/>
    <col customWidth="1" min="13" max="13" width="28.0"/>
    <col customWidth="1" min="14" max="14" width="18.0"/>
    <col customWidth="1" min="15" max="15" width="25.5"/>
    <col customWidth="1" min="25" max="61" width="13.5"/>
  </cols>
  <sheetData>
    <row r="1">
      <c r="A1" s="8" t="s">
        <v>1500</v>
      </c>
      <c r="B1" s="8" t="s">
        <v>4</v>
      </c>
      <c r="C1" s="9" t="s">
        <v>1501</v>
      </c>
      <c r="D1" s="9" t="s">
        <v>1502</v>
      </c>
      <c r="E1" s="9" t="s">
        <v>1503</v>
      </c>
      <c r="F1" s="9" t="s">
        <v>1504</v>
      </c>
      <c r="G1" s="9" t="s">
        <v>1505</v>
      </c>
      <c r="H1" s="9" t="s">
        <v>1506</v>
      </c>
      <c r="I1" s="9" t="s">
        <v>1507</v>
      </c>
      <c r="J1" s="9" t="s">
        <v>1508</v>
      </c>
      <c r="K1" s="9" t="s">
        <v>1509</v>
      </c>
      <c r="L1" s="9" t="s">
        <v>1510</v>
      </c>
      <c r="M1" s="9" t="s">
        <v>1511</v>
      </c>
      <c r="N1" s="9" t="s">
        <v>1512</v>
      </c>
      <c r="O1" s="9" t="s">
        <v>1513</v>
      </c>
      <c r="P1" s="10" t="s">
        <v>1514</v>
      </c>
      <c r="Q1" s="10" t="s">
        <v>1515</v>
      </c>
      <c r="R1" s="10" t="s">
        <v>1516</v>
      </c>
      <c r="S1" s="10" t="s">
        <v>1517</v>
      </c>
      <c r="T1" s="10" t="s">
        <v>1518</v>
      </c>
      <c r="U1" s="10" t="s">
        <v>1519</v>
      </c>
      <c r="V1" s="10" t="s">
        <v>1520</v>
      </c>
      <c r="W1" s="10" t="s">
        <v>1521</v>
      </c>
      <c r="X1" s="10" t="s">
        <v>1522</v>
      </c>
      <c r="Y1" s="10" t="s">
        <v>1523</v>
      </c>
      <c r="Z1" s="10" t="s">
        <v>1524</v>
      </c>
      <c r="AA1" s="10" t="s">
        <v>1525</v>
      </c>
      <c r="AB1" s="10" t="s">
        <v>1526</v>
      </c>
      <c r="AC1" s="10" t="s">
        <v>1527</v>
      </c>
      <c r="AD1" s="10" t="s">
        <v>1528</v>
      </c>
      <c r="AE1" s="10" t="s">
        <v>1529</v>
      </c>
      <c r="AF1" s="10" t="s">
        <v>1530</v>
      </c>
      <c r="AG1" s="10" t="s">
        <v>1531</v>
      </c>
      <c r="AH1" s="10" t="s">
        <v>1532</v>
      </c>
      <c r="AI1" s="10" t="s">
        <v>1533</v>
      </c>
      <c r="AJ1" s="10" t="s">
        <v>1534</v>
      </c>
      <c r="AK1" s="10" t="s">
        <v>1535</v>
      </c>
      <c r="AL1" s="10" t="s">
        <v>1536</v>
      </c>
      <c r="AM1" s="10" t="s">
        <v>1537</v>
      </c>
      <c r="AN1" s="10" t="s">
        <v>1538</v>
      </c>
      <c r="AO1" s="10" t="s">
        <v>1539</v>
      </c>
      <c r="AP1" s="10" t="s">
        <v>1540</v>
      </c>
      <c r="AQ1" s="10" t="s">
        <v>1541</v>
      </c>
      <c r="AR1" s="10" t="s">
        <v>1542</v>
      </c>
      <c r="AS1" s="10" t="s">
        <v>1543</v>
      </c>
      <c r="AT1" s="10" t="s">
        <v>1544</v>
      </c>
      <c r="AU1" s="10" t="s">
        <v>1545</v>
      </c>
      <c r="AV1" s="10" t="s">
        <v>1546</v>
      </c>
      <c r="AW1" s="10" t="s">
        <v>1547</v>
      </c>
      <c r="AX1" s="10" t="s">
        <v>1548</v>
      </c>
      <c r="AY1" s="10" t="s">
        <v>1549</v>
      </c>
      <c r="AZ1" s="10" t="s">
        <v>1550</v>
      </c>
      <c r="BA1" s="10" t="s">
        <v>1551</v>
      </c>
      <c r="BB1" s="10" t="s">
        <v>1552</v>
      </c>
      <c r="BC1" s="10" t="s">
        <v>1553</v>
      </c>
      <c r="BD1" s="10" t="s">
        <v>1554</v>
      </c>
      <c r="BE1" s="10" t="s">
        <v>1555</v>
      </c>
      <c r="BF1" s="10" t="s">
        <v>1556</v>
      </c>
      <c r="BG1" s="10" t="s">
        <v>1557</v>
      </c>
      <c r="BH1" s="10" t="s">
        <v>1558</v>
      </c>
      <c r="BI1" s="10" t="s">
        <v>1559</v>
      </c>
    </row>
    <row r="2">
      <c r="A2" s="8">
        <f>COUNTIF('Cleaned data'!E:E, B2)</f>
        <v>63</v>
      </c>
      <c r="B2" s="8" t="s">
        <v>1271</v>
      </c>
      <c r="C2" s="8">
        <f>IFERROR(__xludf.DUMMYFUNCTION("MIN(FILTER('Cleaned data'!L:L, 'Cleaned data'!E:E=B2))"),200.0)</f>
        <v>200</v>
      </c>
      <c r="D2" s="8">
        <f>IFERROR(__xludf.DUMMYFUNCTION("MAX(FILTER('Cleaned data'!L:L, 'Cleaned data'!E:E=B2))"),715.0)</f>
        <v>715</v>
      </c>
      <c r="E2" s="8">
        <f>IFERROR(__xludf.DUMMYFUNCTION("MEDIAN(FILTER('Cleaned data'!L:L, 'Cleaned data'!E:E=B2))"),500.0)</f>
        <v>500</v>
      </c>
      <c r="F2" s="8">
        <f>IFERROR(__xludf.DUMMYFUNCTION("MIN(FILTER('Cleaned data'!M:M, 'Cleaned data'!E:E=B2))"),205.0)</f>
        <v>205</v>
      </c>
      <c r="G2" s="8">
        <f>IFERROR(__xludf.DUMMYFUNCTION("MAX(FILTER('Cleaned data'!M:M, 'Cleaned data'!E:E=B2))"),443.0)</f>
        <v>443</v>
      </c>
      <c r="H2" s="8">
        <f>IFERROR(__xludf.DUMMYFUNCTION("MEDIAN(FILTER('Cleaned data'!M:M, 'Cleaned data'!E:E=B2))"),307.0)</f>
        <v>307</v>
      </c>
      <c r="I2" s="8">
        <f>IFERROR(__xludf.DUMMYFUNCTION("MIN(FILTER('Cleaned data'!N:N,'Cleaned data'!E:E=B2))"),200.0)</f>
        <v>200</v>
      </c>
      <c r="J2" s="8">
        <f>IFERROR(__xludf.DUMMYFUNCTION("MAX(FILTER('Cleaned data'!N:N,'Cleaned data'!E:E=B2))"),375.0)</f>
        <v>375</v>
      </c>
      <c r="K2" s="8">
        <f>IFERROR(__xludf.DUMMYFUNCTION("MEDIAN(FILTER('Cleaned data'!N:N, 'Cleaned data'!E:E=B2))"),305.0)</f>
        <v>305</v>
      </c>
      <c r="L2" s="8">
        <f>IFERROR(__xludf.DUMMYFUNCTION("MIN(FILTER('Cleaned data'!O:O, 'Cleaned data'!E:E=B2))"),621.0)</f>
        <v>621</v>
      </c>
      <c r="M2" s="8" t="str">
        <f>IFERROR(__xludf.DUMMYFUNCTION("INDEX(FILTER('Cleaned data'!B:B, ('Cleaned data'!E:E=B2)*'Cleaned data'!O:O=MIN(FILTER('Cleaned data'!O:O, 'Cleaned data'!E:E=B2))))"),"Adobe Inc")</f>
        <v>Adobe Inc</v>
      </c>
      <c r="N2" s="8">
        <f>IFERROR(__xludf.DUMMYFUNCTION("MAX(FILTER('Cleaned data'!O:O, 'Cleaned data'!E:E=B2))"),1533.0)</f>
        <v>1533</v>
      </c>
      <c r="O2" s="8" t="str">
        <f>IFERROR(__xludf.DUMMYFUNCTION("INDEX(FILTER('Cleaned data'!B:B, ('Cleaned data'!E:E=B2)*'Cleaned data'!O:O=MAX(FILTER('Cleaned data'!O:O, 'Cleaned data'!E:E=B2))))"),"Microsoft Corp")</f>
        <v>Microsoft Corp</v>
      </c>
      <c r="P2" s="11">
        <f>IFERROR(__xludf.DUMMYFUNCTION("MEDIAN(FILTER('Cleaned data'!O:O, 'Cleaned data'!E:E=B2))"),1103.0)</f>
        <v>1103</v>
      </c>
      <c r="Q2" s="11">
        <f t="shared" ref="Q2:Q44" si="1">N2-L2</f>
        <v>912</v>
      </c>
    </row>
    <row r="3">
      <c r="A3" s="8">
        <f>COUNTIF('Cleaned data'!E:E, B3)</f>
        <v>56</v>
      </c>
      <c r="B3" s="8" t="s">
        <v>157</v>
      </c>
      <c r="C3" s="8">
        <f>IFERROR(__xludf.DUMMYFUNCTION("MIN(FILTER('Cleaned data'!L:L, 'Cleaned data'!E:E=B3))"),200.0)</f>
        <v>200</v>
      </c>
      <c r="D3" s="8">
        <f>IFERROR(__xludf.DUMMYFUNCTION("MAX(FILTER('Cleaned data'!L:L, 'Cleaned data'!E:E=B3))"),575.0)</f>
        <v>575</v>
      </c>
      <c r="E3" s="8">
        <f>IFERROR(__xludf.DUMMYFUNCTION("MEDIAN(FILTER('Cleaned data'!L:L, 'Cleaned data'!E:E=B3))"),240.0)</f>
        <v>240</v>
      </c>
      <c r="F3" s="8">
        <f>IFERROR(__xludf.DUMMYFUNCTION("MIN(FILTER('Cleaned data'!M:M, 'Cleaned data'!E:E=B3))"),201.0)</f>
        <v>201</v>
      </c>
      <c r="G3" s="8">
        <f>IFERROR(__xludf.DUMMYFUNCTION("MAX(FILTER('Cleaned data'!M:M, 'Cleaned data'!E:E=B3))"),346.0)</f>
        <v>346</v>
      </c>
      <c r="H3" s="8">
        <f>IFERROR(__xludf.DUMMYFUNCTION("MEDIAN(FILTER('Cleaned data'!M:M, 'Cleaned data'!E:E=B3))"),280.0)</f>
        <v>280</v>
      </c>
      <c r="I3" s="8">
        <f>IFERROR(__xludf.DUMMYFUNCTION("MIN(FILTER('Cleaned data'!N:N,'Cleaned data'!E:E=B3))"),200.0)</f>
        <v>200</v>
      </c>
      <c r="J3" s="8">
        <f>IFERROR(__xludf.DUMMYFUNCTION("MAX(FILTER('Cleaned data'!N:N,'Cleaned data'!E:E=B3))"),364.0)</f>
        <v>364</v>
      </c>
      <c r="K3" s="8">
        <f>IFERROR(__xludf.DUMMYFUNCTION("MEDIAN(FILTER('Cleaned data'!N:N, 'Cleaned data'!E:E=B3))"),305.0)</f>
        <v>305</v>
      </c>
      <c r="L3" s="8">
        <f>IFERROR(__xludf.DUMMYFUNCTION("MIN(FILTER('Cleaned data'!O:O, 'Cleaned data'!E:E=B3))"),604.0)</f>
        <v>604</v>
      </c>
      <c r="M3" s="8" t="str">
        <f>IFERROR(__xludf.DUMMYFUNCTION("INDEX(FILTER('Cleaned data'!B:B, ('Cleaned data'!E:E=B3)*'Cleaned data'!O:O=MIN(FILTER('Cleaned data'!O:O, 'Cleaned data'!E:E=B3))))"),"Aadi Bioscience Inc")</f>
        <v>Aadi Bioscience Inc</v>
      </c>
      <c r="N3" s="8">
        <f>IFERROR(__xludf.DUMMYFUNCTION("MAX(FILTER('Cleaned data'!O:O, 'Cleaned data'!E:E=B3))"),1215.0)</f>
        <v>1215</v>
      </c>
      <c r="O3" s="8" t="str">
        <f>IFERROR(__xludf.DUMMYFUNCTION("INDEX(FILTER('Cleaned data'!B:B, ('Cleaned data'!E:E=B3)*'Cleaned data'!O:O=MAX(FILTER('Cleaned data'!O:O, 'Cleaned data'!E:E=B3))))"),"Amgen Inc")</f>
        <v>Amgen Inc</v>
      </c>
      <c r="P3" s="11">
        <f>IFERROR(__xludf.DUMMYFUNCTION("MEDIAN(FILTER('Cleaned data'!O:O, 'Cleaned data'!E:E=B3))"),822.5)</f>
        <v>822.5</v>
      </c>
      <c r="Q3" s="11">
        <f t="shared" si="1"/>
        <v>611</v>
      </c>
    </row>
    <row r="4">
      <c r="A4" s="8">
        <f>COUNTIF('Cleaned data'!E:E, B4)</f>
        <v>52</v>
      </c>
      <c r="B4" s="8" t="s">
        <v>629</v>
      </c>
      <c r="C4" s="8">
        <f>IFERROR(__xludf.DUMMYFUNCTION("MIN(FILTER('Cleaned data'!L:L, 'Cleaned data'!E:E=B4))"),200.0)</f>
        <v>200</v>
      </c>
      <c r="D4" s="8">
        <f>IFERROR(__xludf.DUMMYFUNCTION("MAX(FILTER('Cleaned data'!L:L, 'Cleaned data'!E:E=B4))"),607.0)</f>
        <v>607</v>
      </c>
      <c r="E4" s="8">
        <f>IFERROR(__xludf.DUMMYFUNCTION("MEDIAN(FILTER('Cleaned data'!L:L, 'Cleaned data'!E:E=B4))"),385.5)</f>
        <v>385.5</v>
      </c>
      <c r="F4" s="8">
        <f>IFERROR(__xludf.DUMMYFUNCTION("MIN(FILTER('Cleaned data'!M:M, 'Cleaned data'!E:E=B4))"),200.0)</f>
        <v>200</v>
      </c>
      <c r="G4" s="8">
        <f>IFERROR(__xludf.DUMMYFUNCTION("MAX(FILTER('Cleaned data'!M:M, 'Cleaned data'!E:E=B4))"),399.0)</f>
        <v>399</v>
      </c>
      <c r="H4" s="8">
        <f>IFERROR(__xludf.DUMMYFUNCTION("MEDIAN(FILTER('Cleaned data'!M:M, 'Cleaned data'!E:E=B4))"),300.5)</f>
        <v>300.5</v>
      </c>
      <c r="I4" s="8">
        <f>IFERROR(__xludf.DUMMYFUNCTION("MIN(FILTER('Cleaned data'!N:N,'Cleaned data'!E:E=B4))"),200.0)</f>
        <v>200</v>
      </c>
      <c r="J4" s="8">
        <f>IFERROR(__xludf.DUMMYFUNCTION("MAX(FILTER('Cleaned data'!N:N,'Cleaned data'!E:E=B4))"),338.0)</f>
        <v>338</v>
      </c>
      <c r="K4" s="8">
        <f>IFERROR(__xludf.DUMMYFUNCTION("MEDIAN(FILTER('Cleaned data'!N:N, 'Cleaned data'!E:E=B4))"),300.0)</f>
        <v>300</v>
      </c>
      <c r="L4" s="8">
        <f>IFERROR(__xludf.DUMMYFUNCTION("MIN(FILTER('Cleaned data'!O:O, 'Cleaned data'!E:E=B4))"),600.0)</f>
        <v>600</v>
      </c>
      <c r="M4" s="8" t="str">
        <f>IFERROR(__xludf.DUMMYFUNCTION("INDEX(FILTER('Cleaned data'!B:B, ('Cleaned data'!E:E=B4)*'Cleaned data'!O:O=MIN(FILTER('Cleaned data'!O:O, 'Cleaned data'!E:E=B4))))"),"Teleflex Inc")</f>
        <v>Teleflex Inc</v>
      </c>
      <c r="N4" s="8">
        <f>IFERROR(__xludf.DUMMYFUNCTION("MAX(FILTER('Cleaned data'!O:O, 'Cleaned data'!E:E=B4))"),1306.0)</f>
        <v>1306</v>
      </c>
      <c r="O4" s="8" t="str">
        <f>IFERROR(__xludf.DUMMYFUNCTION("INDEX(FILTER('Cleaned data'!B:B, ('Cleaned data'!E:E=B4)*'Cleaned data'!O:O=MAX(FILTER('Cleaned data'!O:O, 'Cleaned data'!E:E=B4))))"),"Becton Dickinson and Co")</f>
        <v>Becton Dickinson and Co</v>
      </c>
      <c r="P4" s="11">
        <f>IFERROR(__xludf.DUMMYFUNCTION("MEDIAN(FILTER('Cleaned data'!O:O, 'Cleaned data'!E:E=B4))"),976.5)</f>
        <v>976.5</v>
      </c>
      <c r="Q4" s="11">
        <f t="shared" si="1"/>
        <v>706</v>
      </c>
    </row>
    <row r="5">
      <c r="A5" s="8">
        <f>COUNTIF('Cleaned data'!E:E, B5)</f>
        <v>36</v>
      </c>
      <c r="B5" s="8" t="s">
        <v>1083</v>
      </c>
      <c r="C5" s="8">
        <f>IFERROR(__xludf.DUMMYFUNCTION("MIN(FILTER('Cleaned data'!L:L, 'Cleaned data'!E:E=B5))"),200.0)</f>
        <v>200</v>
      </c>
      <c r="D5" s="8">
        <f>IFERROR(__xludf.DUMMYFUNCTION("MAX(FILTER('Cleaned data'!L:L, 'Cleaned data'!E:E=B5))"),700.0)</f>
        <v>700</v>
      </c>
      <c r="E5" s="8">
        <f>IFERROR(__xludf.DUMMYFUNCTION("MEDIAN(FILTER('Cleaned data'!L:L, 'Cleaned data'!E:E=B5))"),500.0)</f>
        <v>500</v>
      </c>
      <c r="F5" s="8">
        <f>IFERROR(__xludf.DUMMYFUNCTION("MIN(FILTER('Cleaned data'!M:M, 'Cleaned data'!E:E=B5))"),204.0)</f>
        <v>204</v>
      </c>
      <c r="G5" s="8">
        <f>IFERROR(__xludf.DUMMYFUNCTION("MAX(FILTER('Cleaned data'!M:M, 'Cleaned data'!E:E=B5))"),404.0)</f>
        <v>404</v>
      </c>
      <c r="H5" s="8">
        <f>IFERROR(__xludf.DUMMYFUNCTION("MEDIAN(FILTER('Cleaned data'!M:M, 'Cleaned data'!E:E=B5))"),300.0)</f>
        <v>300</v>
      </c>
      <c r="I5" s="8">
        <f>IFERROR(__xludf.DUMMYFUNCTION("MIN(FILTER('Cleaned data'!N:N,'Cleaned data'!E:E=B5))"),200.0)</f>
        <v>200</v>
      </c>
      <c r="J5" s="8">
        <f>IFERROR(__xludf.DUMMYFUNCTION("MAX(FILTER('Cleaned data'!N:N,'Cleaned data'!E:E=B5))"),365.0)</f>
        <v>365</v>
      </c>
      <c r="K5" s="8">
        <f>IFERROR(__xludf.DUMMYFUNCTION("MEDIAN(FILTER('Cleaned data'!N:N, 'Cleaned data'!E:E=B5))"),300.0)</f>
        <v>300</v>
      </c>
      <c r="L5" s="8">
        <f>IFERROR(__xludf.DUMMYFUNCTION("MIN(FILTER('Cleaned data'!O:O, 'Cleaned data'!E:E=B5))"),609.0)</f>
        <v>609</v>
      </c>
      <c r="M5" s="8" t="str">
        <f>IFERROR(__xludf.DUMMYFUNCTION("INDEX(FILTER('Cleaned data'!B:B, ('Cleaned data'!E:E=B5)*'Cleaned data'!O:O=MIN(FILTER('Cleaned data'!O:O, 'Cleaned data'!E:E=B5))))"),"CBRE Group Inc")</f>
        <v>CBRE Group Inc</v>
      </c>
      <c r="N5" s="8">
        <f>IFERROR(__xludf.DUMMYFUNCTION("MAX(FILTER('Cleaned data'!O:O, 'Cleaned data'!E:E=B5))"),1363.0)</f>
        <v>1363</v>
      </c>
      <c r="O5" s="8" t="str">
        <f>IFERROR(__xludf.DUMMYFUNCTION("INDEX(FILTER('Cleaned data'!B:B, ('Cleaned data'!E:E=B5)*'Cleaned data'!O:O=MAX(FILTER('Cleaned data'!O:O, 'Cleaned data'!E:E=B5))))"),"Hannon Armstrong Sustainable Infrastructure Capital Inc")</f>
        <v>Hannon Armstrong Sustainable Infrastructure Capital Inc</v>
      </c>
      <c r="P5" s="11">
        <f>IFERROR(__xludf.DUMMYFUNCTION("MEDIAN(FILTER('Cleaned data'!O:O, 'Cleaned data'!E:E=B5))"),1092.0)</f>
        <v>1092</v>
      </c>
      <c r="Q5" s="11">
        <f t="shared" si="1"/>
        <v>754</v>
      </c>
    </row>
    <row r="6">
      <c r="A6" s="8">
        <f>COUNTIF('Cleaned data'!E:E, B6)</f>
        <v>33</v>
      </c>
      <c r="B6" s="8" t="s">
        <v>533</v>
      </c>
      <c r="C6" s="8">
        <f>IFERROR(__xludf.DUMMYFUNCTION("MIN(FILTER('Cleaned data'!L:L, 'Cleaned data'!E:E=B6))"),200.0)</f>
        <v>200</v>
      </c>
      <c r="D6" s="8">
        <f>IFERROR(__xludf.DUMMYFUNCTION("MAX(FILTER('Cleaned data'!L:L, 'Cleaned data'!E:E=B6))"),580.0)</f>
        <v>580</v>
      </c>
      <c r="E6" s="8">
        <f>IFERROR(__xludf.DUMMYFUNCTION("MEDIAN(FILTER('Cleaned data'!L:L, 'Cleaned data'!E:E=B6))"),335.0)</f>
        <v>335</v>
      </c>
      <c r="F6" s="8">
        <f>IFERROR(__xludf.DUMMYFUNCTION("MIN(FILTER('Cleaned data'!M:M, 'Cleaned data'!E:E=B6))"),200.0)</f>
        <v>200</v>
      </c>
      <c r="G6" s="8">
        <f>IFERROR(__xludf.DUMMYFUNCTION("MAX(FILTER('Cleaned data'!M:M, 'Cleaned data'!E:E=B6))"),350.0)</f>
        <v>350</v>
      </c>
      <c r="H6" s="8">
        <f>IFERROR(__xludf.DUMMYFUNCTION("MEDIAN(FILTER('Cleaned data'!M:M, 'Cleaned data'!E:E=B6))"),303.0)</f>
        <v>303</v>
      </c>
      <c r="I6" s="8">
        <f>IFERROR(__xludf.DUMMYFUNCTION("MIN(FILTER('Cleaned data'!N:N,'Cleaned data'!E:E=B6))"),200.0)</f>
        <v>200</v>
      </c>
      <c r="J6" s="8">
        <f>IFERROR(__xludf.DUMMYFUNCTION("MAX(FILTER('Cleaned data'!N:N,'Cleaned data'!E:E=B6))"),335.0)</f>
        <v>335</v>
      </c>
      <c r="K6" s="8">
        <f>IFERROR(__xludf.DUMMYFUNCTION("MEDIAN(FILTER('Cleaned data'!N:N, 'Cleaned data'!E:E=B6))"),275.0)</f>
        <v>275</v>
      </c>
      <c r="L6" s="8">
        <f>IFERROR(__xludf.DUMMYFUNCTION("MIN(FILTER('Cleaned data'!O:O, 'Cleaned data'!E:E=B6))"),610.0)</f>
        <v>610</v>
      </c>
      <c r="M6" s="8" t="str">
        <f>IFERROR(__xludf.DUMMYFUNCTION("INDEX(FILTER('Cleaned data'!B:B, ('Cleaned data'!E:E=B6)*'Cleaned data'!O:O=MIN(FILTER('Cleaned data'!O:O, 'Cleaned data'!E:E=B6))))"),"Yiren Digital Ltd")</f>
        <v>Yiren Digital Ltd</v>
      </c>
      <c r="N6" s="8">
        <f>IFERROR(__xludf.DUMMYFUNCTION("MAX(FILTER('Cleaned data'!O:O, 'Cleaned data'!E:E=B6))"),1262.0)</f>
        <v>1262</v>
      </c>
      <c r="O6" s="8" t="str">
        <f>IFERROR(__xludf.DUMMYFUNCTION("INDEX(FILTER('Cleaned data'!B:B, ('Cleaned data'!E:E=B6)*'Cleaned data'!O:O=MAX(FILTER('Cleaned data'!O:O, 'Cleaned data'!E:E=B6))))"),"MSCI Inc")</f>
        <v>MSCI Inc</v>
      </c>
      <c r="P6" s="11">
        <f>IFERROR(__xludf.DUMMYFUNCTION("MEDIAN(FILTER('Cleaned data'!O:O, 'Cleaned data'!E:E=B6))"),969.0)</f>
        <v>969</v>
      </c>
      <c r="Q6" s="11">
        <f t="shared" si="1"/>
        <v>652</v>
      </c>
    </row>
    <row r="7">
      <c r="A7" s="8">
        <f>COUNTIF('Cleaned data'!E:E, B7)</f>
        <v>30</v>
      </c>
      <c r="B7" s="8" t="s">
        <v>1440</v>
      </c>
      <c r="C7" s="8">
        <f>IFERROR(__xludf.DUMMYFUNCTION("MIN(FILTER('Cleaned data'!L:L, 'Cleaned data'!E:E=B7))"),223.0)</f>
        <v>223</v>
      </c>
      <c r="D7" s="8">
        <f>IFERROR(__xludf.DUMMYFUNCTION("MAX(FILTER('Cleaned data'!L:L, 'Cleaned data'!E:E=B7))"),700.0)</f>
        <v>700</v>
      </c>
      <c r="E7" s="8">
        <f>IFERROR(__xludf.DUMMYFUNCTION("MEDIAN(FILTER('Cleaned data'!L:L, 'Cleaned data'!E:E=B7))"),558.5)</f>
        <v>558.5</v>
      </c>
      <c r="F7" s="8">
        <f>IFERROR(__xludf.DUMMYFUNCTION("MIN(FILTER('Cleaned data'!M:M, 'Cleaned data'!E:E=B7))"),201.0)</f>
        <v>201</v>
      </c>
      <c r="G7" s="8">
        <f>IFERROR(__xludf.DUMMYFUNCTION("MAX(FILTER('Cleaned data'!M:M, 'Cleaned data'!E:E=B7))"),667.0)</f>
        <v>667</v>
      </c>
      <c r="H7" s="8">
        <f>IFERROR(__xludf.DUMMYFUNCTION("MEDIAN(FILTER('Cleaned data'!M:M, 'Cleaned data'!E:E=B7))"),326.5)</f>
        <v>326.5</v>
      </c>
      <c r="I7" s="8">
        <f>IFERROR(__xludf.DUMMYFUNCTION("MIN(FILTER('Cleaned data'!N:N,'Cleaned data'!E:E=B7))"),75.0)</f>
        <v>75</v>
      </c>
      <c r="J7" s="8">
        <f>IFERROR(__xludf.DUMMYFUNCTION("MAX(FILTER('Cleaned data'!N:N,'Cleaned data'!E:E=B7))"),370.0)</f>
        <v>370</v>
      </c>
      <c r="K7" s="8">
        <f>IFERROR(__xludf.DUMMYFUNCTION("MEDIAN(FILTER('Cleaned data'!N:N, 'Cleaned data'!E:E=B7))"),300.0)</f>
        <v>300</v>
      </c>
      <c r="L7" s="8">
        <f>IFERROR(__xludf.DUMMYFUNCTION("MIN(FILTER('Cleaned data'!O:O, 'Cleaned data'!E:E=B7))"),629.0)</f>
        <v>629</v>
      </c>
      <c r="M7" s="8" t="str">
        <f>IFERROR(__xludf.DUMMYFUNCTION("INDEX(FILTER('Cleaned data'!B:B, ('Cleaned data'!E:E=B7)*'Cleaned data'!O:O=MIN(FILTER('Cleaned data'!O:O, 'Cleaned data'!E:E=B7))))"),"Xcel Energy Inc")</f>
        <v>Xcel Energy Inc</v>
      </c>
      <c r="N7" s="8">
        <f>IFERROR(__xludf.DUMMYFUNCTION("MAX(FILTER('Cleaned data'!O:O, 'Cleaned data'!E:E=B7))"),1528.0)</f>
        <v>1528</v>
      </c>
      <c r="O7" s="8" t="str">
        <f>IFERROR(__xludf.DUMMYFUNCTION("INDEX(FILTER('Cleaned data'!B:B, ('Cleaned data'!E:E=B7)*'Cleaned data'!O:O=MAX(FILTER('Cleaned data'!O:O, 'Cleaned data'!E:E=B7))))"),"Edison International")</f>
        <v>Edison International</v>
      </c>
      <c r="P7" s="11">
        <f>IFERROR(__xludf.DUMMYFUNCTION("MEDIAN(FILTER('Cleaned data'!O:O, 'Cleaned data'!E:E=B7))"),1199.5)</f>
        <v>1199.5</v>
      </c>
      <c r="Q7" s="11">
        <f t="shared" si="1"/>
        <v>899</v>
      </c>
    </row>
    <row r="8">
      <c r="A8" s="8">
        <f>COUNTIF('Cleaned data'!E:E, B8)</f>
        <v>29</v>
      </c>
      <c r="B8" s="8" t="s">
        <v>87</v>
      </c>
      <c r="C8" s="8">
        <f>IFERROR(__xludf.DUMMYFUNCTION("MIN(FILTER('Cleaned data'!L:L, 'Cleaned data'!E:E=B8))"),200.0)</f>
        <v>200</v>
      </c>
      <c r="D8" s="8">
        <f>IFERROR(__xludf.DUMMYFUNCTION("MAX(FILTER('Cleaned data'!L:L, 'Cleaned data'!E:E=B8))"),565.0)</f>
        <v>565</v>
      </c>
      <c r="E8" s="8">
        <f>IFERROR(__xludf.DUMMYFUNCTION("MEDIAN(FILTER('Cleaned data'!L:L, 'Cleaned data'!E:E=B8))"),308.0)</f>
        <v>308</v>
      </c>
      <c r="F8" s="8">
        <f>IFERROR(__xludf.DUMMYFUNCTION("MIN(FILTER('Cleaned data'!M:M, 'Cleaned data'!E:E=B8))"),200.0)</f>
        <v>200</v>
      </c>
      <c r="G8" s="8">
        <f>IFERROR(__xludf.DUMMYFUNCTION("MAX(FILTER('Cleaned data'!M:M, 'Cleaned data'!E:E=B8))"),394.0)</f>
        <v>394</v>
      </c>
      <c r="H8" s="8">
        <f>IFERROR(__xludf.DUMMYFUNCTION("MEDIAN(FILTER('Cleaned data'!M:M, 'Cleaned data'!E:E=B8))"),300.0)</f>
        <v>300</v>
      </c>
      <c r="I8" s="8">
        <f>IFERROR(__xludf.DUMMYFUNCTION("MIN(FILTER('Cleaned data'!N:N,'Cleaned data'!E:E=B8))"),200.0)</f>
        <v>200</v>
      </c>
      <c r="J8" s="8">
        <f>IFERROR(__xludf.DUMMYFUNCTION("MAX(FILTER('Cleaned data'!N:N,'Cleaned data'!E:E=B8))"),338.0)</f>
        <v>338</v>
      </c>
      <c r="K8" s="8">
        <f>IFERROR(__xludf.DUMMYFUNCTION("MEDIAN(FILTER('Cleaned data'!N:N, 'Cleaned data'!E:E=B8))"),265.0)</f>
        <v>265</v>
      </c>
      <c r="L8" s="8">
        <f>IFERROR(__xludf.DUMMYFUNCTION("MIN(FILTER('Cleaned data'!O:O, 'Cleaned data'!E:E=B8))"),600.0)</f>
        <v>600</v>
      </c>
      <c r="M8" s="8" t="str">
        <f>IFERROR(__xludf.DUMMYFUNCTION("INDEX(FILTER('Cleaned data'!B:B, ('Cleaned data'!E:E=B8)*'Cleaned data'!O:O=MIN(FILTER('Cleaned data'!O:O, 'Cleaned data'!E:E=B8))))"),"Zions Bancorporation NA")</f>
        <v>Zions Bancorporation NA</v>
      </c>
      <c r="N8" s="8">
        <f>IFERROR(__xludf.DUMMYFUNCTION("MAX(FILTER('Cleaned data'!O:O, 'Cleaned data'!E:E=B8))"),1208.0)</f>
        <v>1208</v>
      </c>
      <c r="O8" s="8" t="str">
        <f>IFERROR(__xludf.DUMMYFUNCTION("INDEX(FILTER('Cleaned data'!B:B, ('Cleaned data'!E:E=B8)*'Cleaned data'!O:O=MAX(FILTER('Cleaned data'!O:O, 'Cleaned data'!E:E=B8))))"),"Pacific Premier Bancorp Inc")</f>
        <v>Pacific Premier Bancorp Inc</v>
      </c>
      <c r="P8" s="11">
        <f>IFERROR(__xludf.DUMMYFUNCTION("MEDIAN(FILTER('Cleaned data'!O:O, 'Cleaned data'!E:E=B8))"),886.0)</f>
        <v>886</v>
      </c>
      <c r="Q8" s="11">
        <f t="shared" si="1"/>
        <v>608</v>
      </c>
    </row>
    <row r="9">
      <c r="A9" s="8">
        <f>COUNTIF('Cleaned data'!E:E, B9)</f>
        <v>27</v>
      </c>
      <c r="B9" s="8" t="s">
        <v>435</v>
      </c>
      <c r="C9" s="8">
        <f>IFERROR(__xludf.DUMMYFUNCTION("MIN(FILTER('Cleaned data'!L:L, 'Cleaned data'!E:E=B9))"),200.0)</f>
        <v>200</v>
      </c>
      <c r="D9" s="8">
        <f>IFERROR(__xludf.DUMMYFUNCTION("MAX(FILTER('Cleaned data'!L:L, 'Cleaned data'!E:E=B9))"),605.0)</f>
        <v>605</v>
      </c>
      <c r="E9" s="8">
        <f>IFERROR(__xludf.DUMMYFUNCTION("MEDIAN(FILTER('Cleaned data'!L:L, 'Cleaned data'!E:E=B9))"),410.0)</f>
        <v>410</v>
      </c>
      <c r="F9" s="8">
        <f>IFERROR(__xludf.DUMMYFUNCTION("MIN(FILTER('Cleaned data'!M:M, 'Cleaned data'!E:E=B9))"),200.0)</f>
        <v>200</v>
      </c>
      <c r="G9" s="8">
        <f>IFERROR(__xludf.DUMMYFUNCTION("MAX(FILTER('Cleaned data'!M:M, 'Cleaned data'!E:E=B9))"),415.0)</f>
        <v>415</v>
      </c>
      <c r="H9" s="8">
        <f>IFERROR(__xludf.DUMMYFUNCTION("MEDIAN(FILTER('Cleaned data'!M:M, 'Cleaned data'!E:E=B9))"),300.0)</f>
        <v>300</v>
      </c>
      <c r="I9" s="8">
        <f>IFERROR(__xludf.DUMMYFUNCTION("MIN(FILTER('Cleaned data'!N:N,'Cleaned data'!E:E=B9))"),200.0)</f>
        <v>200</v>
      </c>
      <c r="J9" s="8">
        <f>IFERROR(__xludf.DUMMYFUNCTION("MAX(FILTER('Cleaned data'!N:N,'Cleaned data'!E:E=B9))"),475.0)</f>
        <v>475</v>
      </c>
      <c r="K9" s="8">
        <f>IFERROR(__xludf.DUMMYFUNCTION("MEDIAN(FILTER('Cleaned data'!N:N, 'Cleaned data'!E:E=B9))"),300.0)</f>
        <v>300</v>
      </c>
      <c r="L9" s="8">
        <f>IFERROR(__xludf.DUMMYFUNCTION("MIN(FILTER('Cleaned data'!O:O, 'Cleaned data'!E:E=B9))"),600.0)</f>
        <v>600</v>
      </c>
      <c r="M9" s="8" t="str">
        <f>IFERROR(__xludf.DUMMYFUNCTION("INDEX(FILTER('Cleaned data'!B:B, ('Cleaned data'!E:E=B9)*'Cleaned data'!O:O=MIN(FILTER('Cleaned data'!O:O, 'Cleaned data'!E:E=B9))),1)"),"Corning Inc")</f>
        <v>Corning Inc</v>
      </c>
      <c r="N9" s="8">
        <f>IFERROR(__xludf.DUMMYFUNCTION("MAX(FILTER('Cleaned data'!O:O, 'Cleaned data'!E:E=B9))"),1290.0)</f>
        <v>1290</v>
      </c>
      <c r="O9" s="8" t="str">
        <f>IFERROR(__xludf.DUMMYFUNCTION("INDEX(FILTER('Cleaned data'!B:B, ('Cleaned data'!E:E=B9)*'Cleaned data'!O:O=MAX(FILTER('Cleaned data'!O:O, 'Cleaned data'!E:E=B9))))"),"Amphenol Corp")</f>
        <v>Amphenol Corp</v>
      </c>
      <c r="P9" s="11">
        <f>IFERROR(__xludf.DUMMYFUNCTION("MEDIAN(FILTER('Cleaned data'!O:O, 'Cleaned data'!E:E=B9))"),937.0)</f>
        <v>937</v>
      </c>
      <c r="Q9" s="11">
        <f t="shared" si="1"/>
        <v>690</v>
      </c>
    </row>
    <row r="10">
      <c r="A10" s="8">
        <f>COUNTIF('Cleaned data'!E:E, B10)</f>
        <v>27</v>
      </c>
      <c r="B10" s="8" t="s">
        <v>790</v>
      </c>
      <c r="C10" s="8">
        <f>IFERROR(__xludf.DUMMYFUNCTION("MIN(FILTER('Cleaned data'!L:L, 'Cleaned data'!E:E=B10))"),205.0)</f>
        <v>205</v>
      </c>
      <c r="D10" s="8">
        <f>IFERROR(__xludf.DUMMYFUNCTION("MAX(FILTER('Cleaned data'!L:L, 'Cleaned data'!E:E=B10))"),700.0)</f>
        <v>700</v>
      </c>
      <c r="E10" s="8">
        <f>IFERROR(__xludf.DUMMYFUNCTION("MEDIAN(FILTER('Cleaned data'!L:L, 'Cleaned data'!E:E=B10))"),500.0)</f>
        <v>500</v>
      </c>
      <c r="F10" s="8">
        <f>IFERROR(__xludf.DUMMYFUNCTION("MIN(FILTER('Cleaned data'!M:M, 'Cleaned data'!E:E=B10))"),221.0)</f>
        <v>221</v>
      </c>
      <c r="G10" s="8">
        <f>IFERROR(__xludf.DUMMYFUNCTION("MAX(FILTER('Cleaned data'!M:M, 'Cleaned data'!E:E=B10))"),355.0)</f>
        <v>355</v>
      </c>
      <c r="H10" s="8">
        <f>IFERROR(__xludf.DUMMYFUNCTION("MEDIAN(FILTER('Cleaned data'!M:M, 'Cleaned data'!E:E=B10))"),300.0)</f>
        <v>300</v>
      </c>
      <c r="I10" s="8">
        <f>IFERROR(__xludf.DUMMYFUNCTION("MIN(FILTER('Cleaned data'!N:N,'Cleaned data'!E:E=B10))"),215.0)</f>
        <v>215</v>
      </c>
      <c r="J10" s="8">
        <f>IFERROR(__xludf.DUMMYFUNCTION("MAX(FILTER('Cleaned data'!N:N,'Cleaned data'!E:E=B10))"),340.0)</f>
        <v>340</v>
      </c>
      <c r="K10" s="8">
        <f>IFERROR(__xludf.DUMMYFUNCTION("MEDIAN(FILTER('Cleaned data'!N:N, 'Cleaned data'!E:E=B10))"),300.0)</f>
        <v>300</v>
      </c>
      <c r="L10" s="8">
        <f>IFERROR(__xludf.DUMMYFUNCTION("MIN(FILTER('Cleaned data'!O:O, 'Cleaned data'!E:E=B10))"),668.0)</f>
        <v>668</v>
      </c>
      <c r="M10" s="8" t="str">
        <f>IFERROR(__xludf.DUMMYFUNCTION("INDEX(FILTER('Cleaned data'!B:B, ('Cleaned data'!E:E=B10)*'Cleaned data'!O:O=MIN(FILTER('Cleaned data'!O:O, 'Cleaned data'!E:E=B10))))"),"Globe Life Inc")</f>
        <v>Globe Life Inc</v>
      </c>
      <c r="N10" s="8">
        <f>IFERROR(__xludf.DUMMYFUNCTION("MAX(FILTER('Cleaned data'!O:O, 'Cleaned data'!E:E=B10))"),1300.0)</f>
        <v>1300</v>
      </c>
      <c r="O10" s="8" t="str">
        <f>IFERROR(__xludf.DUMMYFUNCTION("INDEX(FILTER('Cleaned data'!B:B, ('Cleaned data'!E:E=B10)*'Cleaned data'!O:O=MAX(FILTER('Cleaned data'!O:O, 'Cleaned data'!E:E=B10))))"),"Lincoln National Corp")</f>
        <v>Lincoln National Corp</v>
      </c>
      <c r="P10" s="11">
        <f>IFERROR(__xludf.DUMMYFUNCTION("MEDIAN(FILTER('Cleaned data'!O:O, 'Cleaned data'!E:E=B10))"),1077.0)</f>
        <v>1077</v>
      </c>
      <c r="Q10" s="11">
        <f t="shared" si="1"/>
        <v>632</v>
      </c>
    </row>
    <row r="11">
      <c r="A11" s="8">
        <f>COUNTIF('Cleaned data'!E:E, B11)</f>
        <v>26</v>
      </c>
      <c r="B11" s="8" t="s">
        <v>1156</v>
      </c>
      <c r="C11" s="8">
        <f>IFERROR(__xludf.DUMMYFUNCTION("MIN(FILTER('Cleaned data'!L:L, 'Cleaned data'!E:E=B11))"),203.0)</f>
        <v>203</v>
      </c>
      <c r="D11" s="8">
        <f>IFERROR(__xludf.DUMMYFUNCTION("MAX(FILTER('Cleaned data'!L:L, 'Cleaned data'!E:E=B11))"),668.0)</f>
        <v>668</v>
      </c>
      <c r="E11" s="8">
        <f>IFERROR(__xludf.DUMMYFUNCTION("MEDIAN(FILTER('Cleaned data'!L:L, 'Cleaned data'!E:E=B11))"),355.0)</f>
        <v>355</v>
      </c>
      <c r="F11" s="8">
        <f>IFERROR(__xludf.DUMMYFUNCTION("MIN(FILTER('Cleaned data'!M:M, 'Cleaned data'!E:E=B11))"),200.0)</f>
        <v>200</v>
      </c>
      <c r="G11" s="8">
        <f>IFERROR(__xludf.DUMMYFUNCTION("MAX(FILTER('Cleaned data'!M:M, 'Cleaned data'!E:E=B11))"),349.0)</f>
        <v>349</v>
      </c>
      <c r="H11" s="8">
        <f>IFERROR(__xludf.DUMMYFUNCTION("MEDIAN(FILTER('Cleaned data'!M:M, 'Cleaned data'!E:E=B11))"),300.0)</f>
        <v>300</v>
      </c>
      <c r="I11" s="8">
        <f>IFERROR(__xludf.DUMMYFUNCTION("MIN(FILTER('Cleaned data'!N:N,'Cleaned data'!E:E=B11))"),200.0)</f>
        <v>200</v>
      </c>
      <c r="J11" s="8">
        <f>IFERROR(__xludf.DUMMYFUNCTION("MAX(FILTER('Cleaned data'!N:N,'Cleaned data'!E:E=B11))"),460.0)</f>
        <v>460</v>
      </c>
      <c r="K11" s="8">
        <f>IFERROR(__xludf.DUMMYFUNCTION("MEDIAN(FILTER('Cleaned data'!N:N, 'Cleaned data'!E:E=B11))"),267.5)</f>
        <v>267.5</v>
      </c>
      <c r="L11" s="8">
        <f>IFERROR(__xludf.DUMMYFUNCTION("MIN(FILTER('Cleaned data'!O:O, 'Cleaned data'!E:E=B11))"),618.0)</f>
        <v>618</v>
      </c>
      <c r="M11" s="8" t="str">
        <f>IFERROR(__xludf.DUMMYFUNCTION("INDEX(FILTER('Cleaned data'!B:B, ('Cleaned data'!E:E=B11)*'Cleaned data'!O:O=MIN(FILTER('Cleaned data'!O:O, 'Cleaned data'!E:E=B11))))"),"Lowe's Companies Inc")</f>
        <v>Lowe's Companies Inc</v>
      </c>
      <c r="N11" s="8">
        <f>IFERROR(__xludf.DUMMYFUNCTION("MAX(FILTER('Cleaned data'!O:O, 'Cleaned data'!E:E=B11))"),1433.0)</f>
        <v>1433</v>
      </c>
      <c r="O11" s="8" t="str">
        <f>IFERROR(__xludf.DUMMYFUNCTION("INDEX(FILTER('Cleaned data'!B:B, ('Cleaned data'!E:E=B11)*'Cleaned data'!O:O=MAX(FILTER('Cleaned data'!O:O, 'Cleaned data'!E:E=B11))))"),"Amazon.com Inc")</f>
        <v>Amazon.com Inc</v>
      </c>
      <c r="P11" s="11">
        <f>IFERROR(__xludf.DUMMYFUNCTION("MEDIAN(FILTER('Cleaned data'!O:O, 'Cleaned data'!E:E=B11))"),948.0)</f>
        <v>948</v>
      </c>
      <c r="Q11" s="11">
        <f t="shared" si="1"/>
        <v>815</v>
      </c>
    </row>
    <row r="12">
      <c r="A12" s="8">
        <f>COUNTIF('Cleaned data'!E:E, B12)</f>
        <v>24</v>
      </c>
      <c r="B12" s="8" t="s">
        <v>734</v>
      </c>
      <c r="C12" s="8">
        <f>IFERROR(__xludf.DUMMYFUNCTION("MIN(FILTER('Cleaned data'!L:L, 'Cleaned data'!E:E=B12))"),200.0)</f>
        <v>200</v>
      </c>
      <c r="D12" s="8">
        <f>IFERROR(__xludf.DUMMYFUNCTION("MAX(FILTER('Cleaned data'!L:L, 'Cleaned data'!E:E=B12))"),558.0)</f>
        <v>558</v>
      </c>
      <c r="E12" s="8">
        <f>IFERROR(__xludf.DUMMYFUNCTION("MEDIAN(FILTER('Cleaned data'!L:L, 'Cleaned data'!E:E=B12))"),338.0)</f>
        <v>338</v>
      </c>
      <c r="F12" s="8">
        <f>IFERROR(__xludf.DUMMYFUNCTION("MIN(FILTER('Cleaned data'!M:M, 'Cleaned data'!E:E=B12))"),200.0)</f>
        <v>200</v>
      </c>
      <c r="G12" s="8">
        <f>IFERROR(__xludf.DUMMYFUNCTION("MAX(FILTER('Cleaned data'!M:M, 'Cleaned data'!E:E=B12))"),570.0)</f>
        <v>570</v>
      </c>
      <c r="H12" s="8">
        <f>IFERROR(__xludf.DUMMYFUNCTION("MEDIAN(FILTER('Cleaned data'!M:M, 'Cleaned data'!E:E=B12))"),294.0)</f>
        <v>294</v>
      </c>
      <c r="I12" s="8">
        <f>IFERROR(__xludf.DUMMYFUNCTION("MIN(FILTER('Cleaned data'!N:N,'Cleaned data'!E:E=B12))"),200.0)</f>
        <v>200</v>
      </c>
      <c r="J12" s="8">
        <f>IFERROR(__xludf.DUMMYFUNCTION("MAX(FILTER('Cleaned data'!N:N,'Cleaned data'!E:E=B12))"),400.0)</f>
        <v>400</v>
      </c>
      <c r="K12" s="8">
        <f>IFERROR(__xludf.DUMMYFUNCTION("MEDIAN(FILTER('Cleaned data'!N:N, 'Cleaned data'!E:E=B12))"),235.0)</f>
        <v>235</v>
      </c>
      <c r="L12" s="8">
        <f>IFERROR(__xludf.DUMMYFUNCTION("MIN(FILTER('Cleaned data'!O:O, 'Cleaned data'!E:E=B12))"),600.0)</f>
        <v>600</v>
      </c>
      <c r="M12" s="8" t="str">
        <f>IFERROR(__xludf.DUMMYFUNCTION("INDEX(FILTER('Cleaned data'!B:B, ('Cleaned data'!E:E=B12)*'Cleaned data'!O:O=MIN(FILTER('Cleaned data'!O:O, 'Cleaned data'!E:E=B12))))"),"Allied Esports Entertainment Inc")</f>
        <v>Allied Esports Entertainment Inc</v>
      </c>
      <c r="N12" s="8">
        <f>IFERROR(__xludf.DUMMYFUNCTION("MAX(FILTER('Cleaned data'!O:O, 'Cleaned data'!E:E=B12))"),1475.0)</f>
        <v>1475</v>
      </c>
      <c r="O12" s="8" t="str">
        <f>IFERROR(__xludf.DUMMYFUNCTION("INDEX(FILTER('Cleaned data'!B:B, ('Cleaned data'!E:E=B12)*'Cleaned data'!O:O=MAX(FILTER('Cleaned data'!O:O, 'Cleaned data'!E:E=B12))))"),"Airbnb Inc")</f>
        <v>Airbnb Inc</v>
      </c>
      <c r="P12" s="11">
        <f>IFERROR(__xludf.DUMMYFUNCTION("MEDIAN(FILTER('Cleaned data'!O:O, 'Cleaned data'!E:E=B12))"),867.0)</f>
        <v>867</v>
      </c>
      <c r="Q12" s="11">
        <f t="shared" si="1"/>
        <v>875</v>
      </c>
    </row>
    <row r="13">
      <c r="A13" s="8">
        <f>COUNTIF('Cleaned data'!E:E, B13)</f>
        <v>24</v>
      </c>
      <c r="B13" s="8" t="s">
        <v>1222</v>
      </c>
      <c r="C13" s="8">
        <f>IFERROR(__xludf.DUMMYFUNCTION("MIN(FILTER('Cleaned data'!L:L, 'Cleaned data'!E:E=B13))"),200.0)</f>
        <v>200</v>
      </c>
      <c r="D13" s="8">
        <f>IFERROR(__xludf.DUMMYFUNCTION("MAX(FILTER('Cleaned data'!L:L, 'Cleaned data'!E:E=B13))"),575.0)</f>
        <v>575</v>
      </c>
      <c r="E13" s="8">
        <f>IFERROR(__xludf.DUMMYFUNCTION("MEDIAN(FILTER('Cleaned data'!L:L, 'Cleaned data'!E:E=B13))"),505.0)</f>
        <v>505</v>
      </c>
      <c r="F13" s="8">
        <f>IFERROR(__xludf.DUMMYFUNCTION("MIN(FILTER('Cleaned data'!M:M, 'Cleaned data'!E:E=B13))"),208.0)</f>
        <v>208</v>
      </c>
      <c r="G13" s="8">
        <f>IFERROR(__xludf.DUMMYFUNCTION("MAX(FILTER('Cleaned data'!M:M, 'Cleaned data'!E:E=B13))"),330.0)</f>
        <v>330</v>
      </c>
      <c r="H13" s="8">
        <f>IFERROR(__xludf.DUMMYFUNCTION("MEDIAN(FILTER('Cleaned data'!M:M, 'Cleaned data'!E:E=B13))"),305.0)</f>
        <v>305</v>
      </c>
      <c r="I13" s="8">
        <f>IFERROR(__xludf.DUMMYFUNCTION("MIN(FILTER('Cleaned data'!N:N,'Cleaned data'!E:E=B13))"),200.0)</f>
        <v>200</v>
      </c>
      <c r="J13" s="8">
        <f>IFERROR(__xludf.DUMMYFUNCTION("MAX(FILTER('Cleaned data'!N:N,'Cleaned data'!E:E=B13))"),335.0)</f>
        <v>335</v>
      </c>
      <c r="K13" s="8">
        <f>IFERROR(__xludf.DUMMYFUNCTION("MEDIAN(FILTER('Cleaned data'!N:N, 'Cleaned data'!E:E=B13))"),300.0)</f>
        <v>300</v>
      </c>
      <c r="L13" s="8">
        <f>IFERROR(__xludf.DUMMYFUNCTION("MIN(FILTER('Cleaned data'!O:O, 'Cleaned data'!E:E=B13))"),608.0)</f>
        <v>608</v>
      </c>
      <c r="M13" s="8" t="str">
        <f>IFERROR(__xludf.DUMMYFUNCTION("INDEX(FILTER('Cleaned data'!B:B, ('Cleaned data'!E:E=B13)*'Cleaned data'!O:O=MIN(FILTER('Cleaned data'!O:O, 'Cleaned data'!E:E=B13))))"),"Advanced Micro Devices Inc")</f>
        <v>Advanced Micro Devices Inc</v>
      </c>
      <c r="N13" s="8">
        <f>IFERROR(__xludf.DUMMYFUNCTION("MAX(FILTER('Cleaned data'!O:O, 'Cleaned data'!E:E=B13))"),1195.0)</f>
        <v>1195</v>
      </c>
      <c r="O13" s="8" t="str">
        <f>IFERROR(__xludf.DUMMYFUNCTION("INDEX(FILTER('Cleaned data'!B:B, ('Cleaned data'!E:E=B13)*'Cleaned data'!O:O=MAX(FILTER('Cleaned data'!O:O, 'Cleaned data'!E:E=B13))))"),"Maxlinear Inc")</f>
        <v>Maxlinear Inc</v>
      </c>
      <c r="P13" s="11">
        <f>IFERROR(__xludf.DUMMYFUNCTION("MEDIAN(FILTER('Cleaned data'!O:O, 'Cleaned data'!E:E=B13))"),1100.0)</f>
        <v>1100</v>
      </c>
      <c r="Q13" s="11">
        <f t="shared" si="1"/>
        <v>587</v>
      </c>
    </row>
    <row r="14">
      <c r="A14" s="8">
        <f>COUNTIF('Cleaned data'!E:E, B14)</f>
        <v>23</v>
      </c>
      <c r="B14" s="8" t="s">
        <v>948</v>
      </c>
      <c r="C14" s="8">
        <f>IFERROR(__xludf.DUMMYFUNCTION("MIN(FILTER('Cleaned data'!L:L, 'Cleaned data'!E:E=B14))"),205.0)</f>
        <v>205</v>
      </c>
      <c r="D14" s="8">
        <f>IFERROR(__xludf.DUMMYFUNCTION("MAX(FILTER('Cleaned data'!L:L, 'Cleaned data'!E:E=B14))"),543.0)</f>
        <v>543</v>
      </c>
      <c r="E14" s="8">
        <f>IFERROR(__xludf.DUMMYFUNCTION("MEDIAN(FILTER('Cleaned data'!L:L, 'Cleaned data'!E:E=B14))"),295.0)</f>
        <v>295</v>
      </c>
      <c r="F14" s="8">
        <f>IFERROR(__xludf.DUMMYFUNCTION("MIN(FILTER('Cleaned data'!M:M, 'Cleaned data'!E:E=B14))"),202.0)</f>
        <v>202</v>
      </c>
      <c r="G14" s="8">
        <f>IFERROR(__xludf.DUMMYFUNCTION("MAX(FILTER('Cleaned data'!M:M, 'Cleaned data'!E:E=B14))"),515.0)</f>
        <v>515</v>
      </c>
      <c r="H14" s="8">
        <f>IFERROR(__xludf.DUMMYFUNCTION("MEDIAN(FILTER('Cleaned data'!M:M, 'Cleaned data'!E:E=B14))"),307.0)</f>
        <v>307</v>
      </c>
      <c r="I14" s="8">
        <f>IFERROR(__xludf.DUMMYFUNCTION("MIN(FILTER('Cleaned data'!N:N,'Cleaned data'!E:E=B14))"),200.0)</f>
        <v>200</v>
      </c>
      <c r="J14" s="8">
        <f>IFERROR(__xludf.DUMMYFUNCTION("MAX(FILTER('Cleaned data'!N:N,'Cleaned data'!E:E=B14))"),355.0)</f>
        <v>355</v>
      </c>
      <c r="K14" s="8">
        <f>IFERROR(__xludf.DUMMYFUNCTION("MEDIAN(FILTER('Cleaned data'!N:N, 'Cleaned data'!E:E=B14))"),300.0)</f>
        <v>300</v>
      </c>
      <c r="L14" s="8">
        <f>IFERROR(__xludf.DUMMYFUNCTION("MIN(FILTER('Cleaned data'!O:O, 'Cleaned data'!E:E=B14))"),607.0)</f>
        <v>607</v>
      </c>
      <c r="M14" s="8" t="str">
        <f>IFERROR(__xludf.DUMMYFUNCTION("INDEX(FILTER('Cleaned data'!B:B, ('Cleaned data'!E:E=B14)*'Cleaned data'!O:O=MIN(FILTER('Cleaned data'!O:O, 'Cleaned data'!E:E=B14))))"),"Playstudios Inc")</f>
        <v>Playstudios Inc</v>
      </c>
      <c r="N14" s="8">
        <f>IFERROR(__xludf.DUMMYFUNCTION("MAX(FILTER('Cleaned data'!O:O, 'Cleaned data'!E:E=B14))"),1181.0)</f>
        <v>1181</v>
      </c>
      <c r="O14" s="8" t="str">
        <f>IFERROR(__xludf.DUMMYFUNCTION("INDEX(FILTER('Cleaned data'!B:B, ('Cleaned data'!E:E=B14)*'Cleaned data'!O:O=MAX(FILTER('Cleaned data'!O:O, 'Cleaned data'!E:E=B14))))"),"Omnicom Group Inc")</f>
        <v>Omnicom Group Inc</v>
      </c>
      <c r="P14" s="11">
        <f>IFERROR(__xludf.DUMMYFUNCTION("MEDIAN(FILTER('Cleaned data'!O:O, 'Cleaned data'!E:E=B14))"),945.0)</f>
        <v>945</v>
      </c>
      <c r="Q14" s="11">
        <f t="shared" si="1"/>
        <v>574</v>
      </c>
    </row>
    <row r="15">
      <c r="A15" s="8">
        <f>COUNTIF('Cleaned data'!E:E, B15)</f>
        <v>21</v>
      </c>
      <c r="B15" s="8" t="s">
        <v>490</v>
      </c>
      <c r="C15" s="8">
        <f>IFERROR(__xludf.DUMMYFUNCTION("MIN(FILTER('Cleaned data'!L:L, 'Cleaned data'!E:E=B15))"),200.0)</f>
        <v>200</v>
      </c>
      <c r="D15" s="8">
        <f>IFERROR(__xludf.DUMMYFUNCTION("MAX(FILTER('Cleaned data'!L:L, 'Cleaned data'!E:E=B15))"),700.0)</f>
        <v>700</v>
      </c>
      <c r="E15" s="8">
        <f>IFERROR(__xludf.DUMMYFUNCTION("MEDIAN(FILTER('Cleaned data'!L:L, 'Cleaned data'!E:E=B15))"),535.0)</f>
        <v>535</v>
      </c>
      <c r="F15" s="8">
        <f>IFERROR(__xludf.DUMMYFUNCTION("MIN(FILTER('Cleaned data'!M:M, 'Cleaned data'!E:E=B15))"),200.0)</f>
        <v>200</v>
      </c>
      <c r="G15" s="8">
        <f>IFERROR(__xludf.DUMMYFUNCTION("MAX(FILTER('Cleaned data'!M:M, 'Cleaned data'!E:E=B15))"),544.0)</f>
        <v>544</v>
      </c>
      <c r="H15" s="8">
        <f>IFERROR(__xludf.DUMMYFUNCTION("MEDIAN(FILTER('Cleaned data'!M:M, 'Cleaned data'!E:E=B15))"),302.0)</f>
        <v>302</v>
      </c>
      <c r="I15" s="8">
        <f>IFERROR(__xludf.DUMMYFUNCTION("MIN(FILTER('Cleaned data'!N:N,'Cleaned data'!E:E=B15))"),210.0)</f>
        <v>210</v>
      </c>
      <c r="J15" s="8">
        <f>IFERROR(__xludf.DUMMYFUNCTION("MAX(FILTER('Cleaned data'!N:N,'Cleaned data'!E:E=B15))"),355.0)</f>
        <v>355</v>
      </c>
      <c r="K15" s="8">
        <f>IFERROR(__xludf.DUMMYFUNCTION("MEDIAN(FILTER('Cleaned data'!N:N, 'Cleaned data'!E:E=B15))"),305.0)</f>
        <v>305</v>
      </c>
      <c r="L15" s="8">
        <f>IFERROR(__xludf.DUMMYFUNCTION("MIN(FILTER('Cleaned data'!O:O, 'Cleaned data'!E:E=B15))"),637.0)</f>
        <v>637</v>
      </c>
      <c r="M15" s="8" t="str">
        <f>IFERROR(__xludf.DUMMYFUNCTION("INDEX(FILTER('Cleaned data'!B:B, ('Cleaned data'!E:E=B15)*'Cleaned data'!O:O=MIN(FILTER('Cleaned data'!O:O, 'Cleaned data'!E:E=B15))))"),"Chevron Corp")</f>
        <v>Chevron Corp</v>
      </c>
      <c r="N15" s="8">
        <f>IFERROR(__xludf.DUMMYFUNCTION("MAX(FILTER('Cleaned data'!O:O, 'Cleaned data'!E:E=B15))"),1536.0)</f>
        <v>1536</v>
      </c>
      <c r="O15" s="8" t="str">
        <f>IFERROR(__xludf.DUMMYFUNCTION("INDEX(FILTER('Cleaned data'!B:B, ('Cleaned data'!E:E=B15)*'Cleaned data'!O:O=MAX(FILTER('Cleaned data'!O:O, 'Cleaned data'!E:E=B15))))"),"Conocophillips")</f>
        <v>Conocophillips</v>
      </c>
      <c r="P15" s="11">
        <f>IFERROR(__xludf.DUMMYFUNCTION("MEDIAN(FILTER('Cleaned data'!O:O, 'Cleaned data'!E:E=B15))"),1148.0)</f>
        <v>1148</v>
      </c>
      <c r="Q15" s="11">
        <f t="shared" si="1"/>
        <v>899</v>
      </c>
    </row>
    <row r="16">
      <c r="A16" s="8">
        <f>COUNTIF('Cleaned data'!E:E, B16)</f>
        <v>21</v>
      </c>
      <c r="B16" s="8" t="s">
        <v>1025</v>
      </c>
      <c r="C16" s="8">
        <f>IFERROR(__xludf.DUMMYFUNCTION("MIN(FILTER('Cleaned data'!L:L, 'Cleaned data'!E:E=B16))"),200.0)</f>
        <v>200</v>
      </c>
      <c r="D16" s="8">
        <f>IFERROR(__xludf.DUMMYFUNCTION("MAX(FILTER('Cleaned data'!L:L, 'Cleaned data'!E:E=B16))"),565.0)</f>
        <v>565</v>
      </c>
      <c r="E16" s="8">
        <f>IFERROR(__xludf.DUMMYFUNCTION("MEDIAN(FILTER('Cleaned data'!L:L, 'Cleaned data'!E:E=B16))"),285.0)</f>
        <v>285</v>
      </c>
      <c r="F16" s="8">
        <f>IFERROR(__xludf.DUMMYFUNCTION("MIN(FILTER('Cleaned data'!M:M, 'Cleaned data'!E:E=B16))"),203.0)</f>
        <v>203</v>
      </c>
      <c r="G16" s="8">
        <f>IFERROR(__xludf.DUMMYFUNCTION("MAX(FILTER('Cleaned data'!M:M, 'Cleaned data'!E:E=B16))"),360.0)</f>
        <v>360</v>
      </c>
      <c r="H16" s="8">
        <f>IFERROR(__xludf.DUMMYFUNCTION("MEDIAN(FILTER('Cleaned data'!M:M, 'Cleaned data'!E:E=B16))"),264.0)</f>
        <v>264</v>
      </c>
      <c r="I16" s="8">
        <f>IFERROR(__xludf.DUMMYFUNCTION("MIN(FILTER('Cleaned data'!N:N,'Cleaned data'!E:E=B16))"),200.0)</f>
        <v>200</v>
      </c>
      <c r="J16" s="8">
        <f>IFERROR(__xludf.DUMMYFUNCTION("MAX(FILTER('Cleaned data'!N:N,'Cleaned data'!E:E=B16))"),315.0)</f>
        <v>315</v>
      </c>
      <c r="K16" s="8">
        <f>IFERROR(__xludf.DUMMYFUNCTION("MEDIAN(FILTER('Cleaned data'!N:N, 'Cleaned data'!E:E=B16))"),300.0)</f>
        <v>300</v>
      </c>
      <c r="L16" s="8">
        <f>IFERROR(__xludf.DUMMYFUNCTION("MIN(FILTER('Cleaned data'!O:O, 'Cleaned data'!E:E=B16))"),645.0)</f>
        <v>645</v>
      </c>
      <c r="M16" s="8" t="str">
        <f>IFERROR(__xludf.DUMMYFUNCTION("INDEX(FILTER('Cleaned data'!B:B, ('Cleaned data'!E:E=B16)*'Cleaned data'!O:O=MIN(FILTER('Cleaned data'!O:O, 'Cleaned data'!E:E=B16))))"),"Clearside Biomedical Inc")</f>
        <v>Clearside Biomedical Inc</v>
      </c>
      <c r="N16" s="8">
        <f>IFERROR(__xludf.DUMMYFUNCTION("MAX(FILTER('Cleaned data'!O:O, 'Cleaned data'!E:E=B16))"),1180.0)</f>
        <v>1180</v>
      </c>
      <c r="O16" s="8" t="str">
        <f>IFERROR(__xludf.DUMMYFUNCTION("INDEX(FILTER('Cleaned data'!B:B, ('Cleaned data'!E:E=B16)*'Cleaned data'!O:O=MAX(FILTER('Cleaned data'!O:O, 'Cleaned data'!E:E=B16))))"),"Eli Lilly and Co")</f>
        <v>Eli Lilly and Co</v>
      </c>
      <c r="P16" s="11">
        <f>IFERROR(__xludf.DUMMYFUNCTION("MEDIAN(FILTER('Cleaned data'!O:O, 'Cleaned data'!E:E=B16))"),824.0)</f>
        <v>824</v>
      </c>
      <c r="Q16" s="11">
        <f t="shared" si="1"/>
        <v>535</v>
      </c>
    </row>
    <row r="17">
      <c r="A17" s="8">
        <f>COUNTIF('Cleaned data'!E:E, B17)</f>
        <v>21</v>
      </c>
      <c r="B17" s="8" t="s">
        <v>898</v>
      </c>
      <c r="C17" s="8">
        <f>IFERROR(__xludf.DUMMYFUNCTION("MIN(FILTER('Cleaned data'!L:L, 'Cleaned data'!E:E=B17))"),200.0)</f>
        <v>200</v>
      </c>
      <c r="D17" s="8">
        <f>IFERROR(__xludf.DUMMYFUNCTION("MAX(FILTER('Cleaned data'!L:L, 'Cleaned data'!E:E=B17))"),607.0)</f>
        <v>607</v>
      </c>
      <c r="E17" s="8">
        <f>IFERROR(__xludf.DUMMYFUNCTION("MEDIAN(FILTER('Cleaned data'!L:L, 'Cleaned data'!E:E=B17))"),500.0)</f>
        <v>500</v>
      </c>
      <c r="F17" s="8">
        <f>IFERROR(__xludf.DUMMYFUNCTION("MIN(FILTER('Cleaned data'!M:M, 'Cleaned data'!E:E=B17))"),239.0)</f>
        <v>239</v>
      </c>
      <c r="G17" s="8">
        <f>IFERROR(__xludf.DUMMYFUNCTION("MAX(FILTER('Cleaned data'!M:M, 'Cleaned data'!E:E=B17))"),391.0)</f>
        <v>391</v>
      </c>
      <c r="H17" s="8">
        <f>IFERROR(__xludf.DUMMYFUNCTION("MEDIAN(FILTER('Cleaned data'!M:M, 'Cleaned data'!E:E=B17))"),315.0)</f>
        <v>315</v>
      </c>
      <c r="I17" s="8">
        <f>IFERROR(__xludf.DUMMYFUNCTION("MIN(FILTER('Cleaned data'!N:N,'Cleaned data'!E:E=B17))"),210.0)</f>
        <v>210</v>
      </c>
      <c r="J17" s="8">
        <f>IFERROR(__xludf.DUMMYFUNCTION("MAX(FILTER('Cleaned data'!N:N,'Cleaned data'!E:E=B17))"),320.0)</f>
        <v>320</v>
      </c>
      <c r="K17" s="8">
        <f>IFERROR(__xludf.DUMMYFUNCTION("MEDIAN(FILTER('Cleaned data'!N:N, 'Cleaned data'!E:E=B17))"),300.0)</f>
        <v>300</v>
      </c>
      <c r="L17" s="8">
        <f>IFERROR(__xludf.DUMMYFUNCTION("MIN(FILTER('Cleaned data'!O:O, 'Cleaned data'!E:E=B17))"),709.0)</f>
        <v>709</v>
      </c>
      <c r="M17" s="8" t="str">
        <f>IFERROR(__xludf.DUMMYFUNCTION("INDEX(FILTER('Cleaned data'!B:B, ('Cleaned data'!E:E=B17)*'Cleaned data'!O:O=MIN(FILTER('Cleaned data'!O:O, 'Cleaned data'!E:E=B17))))"),"Caterpillar Inc")</f>
        <v>Caterpillar Inc</v>
      </c>
      <c r="N17" s="8">
        <f>IFERROR(__xludf.DUMMYFUNCTION("MAX(FILTER('Cleaned data'!O:O, 'Cleaned data'!E:E=B17))"),1238.0)</f>
        <v>1238</v>
      </c>
      <c r="O17" s="8" t="str">
        <f>IFERROR(__xludf.DUMMYFUNCTION("INDEX(FILTER('Cleaned data'!B:B, ('Cleaned data'!E:E=B17)*'Cleaned data'!O:O=MAX(FILTER('Cleaned data'!O:O, 'Cleaned data'!E:E=B17))))"),"Westinghouse Air Brake Technologies Corp")</f>
        <v>Westinghouse Air Brake Technologies Corp</v>
      </c>
      <c r="P17" s="11">
        <f>IFERROR(__xludf.DUMMYFUNCTION("MEDIAN(FILTER('Cleaned data'!O:O, 'Cleaned data'!E:E=B17))"),1125.0)</f>
        <v>1125</v>
      </c>
      <c r="Q17" s="11">
        <f t="shared" si="1"/>
        <v>529</v>
      </c>
    </row>
    <row r="18">
      <c r="A18" s="8">
        <f>COUNTIF('Cleaned data'!E:E, B18)</f>
        <v>20</v>
      </c>
      <c r="B18" s="8" t="s">
        <v>379</v>
      </c>
      <c r="C18" s="8">
        <f>IFERROR(__xludf.DUMMYFUNCTION("MIN(FILTER('Cleaned data'!L:L, 'Cleaned data'!E:E=B18))"),200.0)</f>
        <v>200</v>
      </c>
      <c r="D18" s="8">
        <f>IFERROR(__xludf.DUMMYFUNCTION("MAX(FILTER('Cleaned data'!L:L, 'Cleaned data'!E:E=B18))"),578.0)</f>
        <v>578</v>
      </c>
      <c r="E18" s="8">
        <f>IFERROR(__xludf.DUMMYFUNCTION("MEDIAN(FILTER('Cleaned data'!L:L, 'Cleaned data'!E:E=B18))"),359.0)</f>
        <v>359</v>
      </c>
      <c r="F18" s="8">
        <f>IFERROR(__xludf.DUMMYFUNCTION("MIN(FILTER('Cleaned data'!M:M, 'Cleaned data'!E:E=B18))"),203.0)</f>
        <v>203</v>
      </c>
      <c r="G18" s="8">
        <f>IFERROR(__xludf.DUMMYFUNCTION("MAX(FILTER('Cleaned data'!M:M, 'Cleaned data'!E:E=B18))"),422.0)</f>
        <v>422</v>
      </c>
      <c r="H18" s="8">
        <f>IFERROR(__xludf.DUMMYFUNCTION("MEDIAN(FILTER('Cleaned data'!M:M, 'Cleaned data'!E:E=B18))"),299.0)</f>
        <v>299</v>
      </c>
      <c r="I18" s="8">
        <f>IFERROR(__xludf.DUMMYFUNCTION("MIN(FILTER('Cleaned data'!N:N,'Cleaned data'!E:E=B18))"),200.0)</f>
        <v>200</v>
      </c>
      <c r="J18" s="8">
        <f>IFERROR(__xludf.DUMMYFUNCTION("MAX(FILTER('Cleaned data'!N:N,'Cleaned data'!E:E=B18))"),348.0)</f>
        <v>348</v>
      </c>
      <c r="K18" s="8">
        <f>IFERROR(__xludf.DUMMYFUNCTION("MEDIAN(FILTER('Cleaned data'!N:N, 'Cleaned data'!E:E=B18))"),300.0)</f>
        <v>300</v>
      </c>
      <c r="L18" s="8">
        <f>IFERROR(__xludf.DUMMYFUNCTION("MIN(FILTER('Cleaned data'!O:O, 'Cleaned data'!E:E=B18))"),647.0)</f>
        <v>647</v>
      </c>
      <c r="M18" s="8" t="str">
        <f>IFERROR(__xludf.DUMMYFUNCTION("INDEX(FILTER('Cleaned data'!B:B, ('Cleaned data'!E:E=B18)*'Cleaned data'!O:O=MIN(FILTER('Cleaned data'!O:O, 'Cleaned data'!E:E=B18))))"),"Garmin Ltd")</f>
        <v>Garmin Ltd</v>
      </c>
      <c r="N18" s="8">
        <f>IFERROR(__xludf.DUMMYFUNCTION("MAX(FILTER('Cleaned data'!O:O, 'Cleaned data'!E:E=B18))"),1292.0)</f>
        <v>1292</v>
      </c>
      <c r="O18" s="8" t="str">
        <f>IFERROR(__xludf.DUMMYFUNCTION("INDEX(FILTER('Cleaned data'!B:B, ('Cleaned data'!E:E=B18)*'Cleaned data'!O:O=MAX(FILTER('Cleaned data'!O:O, 'Cleaned data'!E:E=B18))))"),"Procter &amp; Gamble Co")</f>
        <v>Procter &amp; Gamble Co</v>
      </c>
      <c r="P18" s="11">
        <f>IFERROR(__xludf.DUMMYFUNCTION("MEDIAN(FILTER('Cleaned data'!O:O, 'Cleaned data'!E:E=B18))"),959.0)</f>
        <v>959</v>
      </c>
      <c r="Q18" s="11">
        <f t="shared" si="1"/>
        <v>645</v>
      </c>
    </row>
    <row r="19">
      <c r="A19" s="8">
        <f>COUNTIF('Cleaned data'!E:E, B19)</f>
        <v>19</v>
      </c>
      <c r="B19" s="8" t="s">
        <v>293</v>
      </c>
      <c r="C19" s="8">
        <f>IFERROR(__xludf.DUMMYFUNCTION("MIN(FILTER('Cleaned data'!L:L, 'Cleaned data'!E:E=B19))"),205.0)</f>
        <v>205</v>
      </c>
      <c r="D19" s="8">
        <f>IFERROR(__xludf.DUMMYFUNCTION("MAX(FILTER('Cleaned data'!L:L, 'Cleaned data'!E:E=B19))"),700.0)</f>
        <v>700</v>
      </c>
      <c r="E19" s="8">
        <f>IFERROR(__xludf.DUMMYFUNCTION("MEDIAN(FILTER('Cleaned data'!L:L, 'Cleaned data'!E:E=B19))"),510.0)</f>
        <v>510</v>
      </c>
      <c r="F19" s="8">
        <f>IFERROR(__xludf.DUMMYFUNCTION("MIN(FILTER('Cleaned data'!M:M, 'Cleaned data'!E:E=B19))"),201.0)</f>
        <v>201</v>
      </c>
      <c r="G19" s="8">
        <f>IFERROR(__xludf.DUMMYFUNCTION("MAX(FILTER('Cleaned data'!M:M, 'Cleaned data'!E:E=B19))"),442.0)</f>
        <v>442</v>
      </c>
      <c r="H19" s="8">
        <f>IFERROR(__xludf.DUMMYFUNCTION("MEDIAN(FILTER('Cleaned data'!M:M, 'Cleaned data'!E:E=B19))"),312.0)</f>
        <v>312</v>
      </c>
      <c r="I19" s="8">
        <f>IFERROR(__xludf.DUMMYFUNCTION("MIN(FILTER('Cleaned data'!N:N,'Cleaned data'!E:E=B19))"),200.0)</f>
        <v>200</v>
      </c>
      <c r="J19" s="8">
        <f>IFERROR(__xludf.DUMMYFUNCTION("MAX(FILTER('Cleaned data'!N:N,'Cleaned data'!E:E=B19))"),330.0)</f>
        <v>330</v>
      </c>
      <c r="K19" s="8">
        <f>IFERROR(__xludf.DUMMYFUNCTION("MEDIAN(FILTER('Cleaned data'!N:N, 'Cleaned data'!E:E=B19))"),300.0)</f>
        <v>300</v>
      </c>
      <c r="L19" s="8">
        <f>IFERROR(__xludf.DUMMYFUNCTION("MIN(FILTER('Cleaned data'!O:O, 'Cleaned data'!E:E=B19))"),626.0)</f>
        <v>626</v>
      </c>
      <c r="M19" s="8" t="str">
        <f>IFERROR(__xludf.DUMMYFUNCTION("INDEX(FILTER('Cleaned data'!B:B, ('Cleaned data'!E:E=B19)*'Cleaned data'!O:O=MIN(FILTER('Cleaned data'!O:O, 'Cleaned data'!E:E=B19))))"),"Dow Inc")</f>
        <v>Dow Inc</v>
      </c>
      <c r="N19" s="8">
        <f>IFERROR(__xludf.DUMMYFUNCTION("MAX(FILTER('Cleaned data'!O:O, 'Cleaned data'!E:E=B19))"),1442.0)</f>
        <v>1442</v>
      </c>
      <c r="O19" s="8" t="str">
        <f>IFERROR(__xludf.DUMMYFUNCTION("INDEX(FILTER('Cleaned data'!B:B, ('Cleaned data'!E:E=B19)*'Cleaned data'!O:O=MAX(FILTER('Cleaned data'!O:O, 'Cleaned data'!E:E=B19))))"),"Air Products and Chemicals Inc")</f>
        <v>Air Products and Chemicals Inc</v>
      </c>
      <c r="P19" s="11">
        <f>IFERROR(__xludf.DUMMYFUNCTION("MEDIAN(FILTER('Cleaned data'!O:O, 'Cleaned data'!E:E=B19))"),1132.0)</f>
        <v>1132</v>
      </c>
      <c r="Q19" s="11">
        <f t="shared" si="1"/>
        <v>816</v>
      </c>
    </row>
    <row r="20">
      <c r="A20" s="8">
        <f>COUNTIF('Cleaned data'!E:E, B20)</f>
        <v>16</v>
      </c>
      <c r="B20" s="8" t="s">
        <v>852</v>
      </c>
      <c r="C20" s="8">
        <f>IFERROR(__xludf.DUMMYFUNCTION("MIN(FILTER('Cleaned data'!L:L, 'Cleaned data'!E:E=B20))"),205.0)</f>
        <v>205</v>
      </c>
      <c r="D20" s="8">
        <f>IFERROR(__xludf.DUMMYFUNCTION("MAX(FILTER('Cleaned data'!L:L, 'Cleaned data'!E:E=B20))"),573.0)</f>
        <v>573</v>
      </c>
      <c r="E20" s="8">
        <f>IFERROR(__xludf.DUMMYFUNCTION("MEDIAN(FILTER('Cleaned data'!L:L, 'Cleaned data'!E:E=B20))"),510.0)</f>
        <v>510</v>
      </c>
      <c r="F20" s="8">
        <f>IFERROR(__xludf.DUMMYFUNCTION("MIN(FILTER('Cleaned data'!M:M, 'Cleaned data'!E:E=B20))"),221.0)</f>
        <v>221</v>
      </c>
      <c r="G20" s="8">
        <f>IFERROR(__xludf.DUMMYFUNCTION("MAX(FILTER('Cleaned data'!M:M, 'Cleaned data'!E:E=B20))"),354.0)</f>
        <v>354</v>
      </c>
      <c r="H20" s="8">
        <f>IFERROR(__xludf.DUMMYFUNCTION("MEDIAN(FILTER('Cleaned data'!M:M, 'Cleaned data'!E:E=B20))"),301.5)</f>
        <v>301.5</v>
      </c>
      <c r="I20" s="8">
        <f>IFERROR(__xludf.DUMMYFUNCTION("MIN(FILTER('Cleaned data'!N:N,'Cleaned data'!E:E=B20))"),215.0)</f>
        <v>215</v>
      </c>
      <c r="J20" s="8">
        <f>IFERROR(__xludf.DUMMYFUNCTION("MAX(FILTER('Cleaned data'!N:N,'Cleaned data'!E:E=B20))"),385.0)</f>
        <v>385</v>
      </c>
      <c r="K20" s="8">
        <f>IFERROR(__xludf.DUMMYFUNCTION("MEDIAN(FILTER('Cleaned data'!N:N, 'Cleaned data'!E:E=B20))"),270.0)</f>
        <v>270</v>
      </c>
      <c r="L20" s="8">
        <f>IFERROR(__xludf.DUMMYFUNCTION("MIN(FILTER('Cleaned data'!O:O, 'Cleaned data'!E:E=B20))"),659.0)</f>
        <v>659</v>
      </c>
      <c r="M20" s="8" t="str">
        <f>IFERROR(__xludf.DUMMYFUNCTION("INDEX(FILTER('Cleaned data'!B:B, ('Cleaned data'!E:E=B20)*'Cleaned data'!O:O=MIN(FILTER('Cleaned data'!O:O, 'Cleaned data'!E:E=B20))))"),"Absci Corp")</f>
        <v>Absci Corp</v>
      </c>
      <c r="N20" s="8">
        <f>IFERROR(__xludf.DUMMYFUNCTION("MAX(FILTER('Cleaned data'!O:O, 'Cleaned data'!E:E=B20))"),1259.0)</f>
        <v>1259</v>
      </c>
      <c r="O20" s="8" t="str">
        <f>IFERROR(__xludf.DUMMYFUNCTION("INDEX(FILTER('Cleaned data'!B:B, ('Cleaned data'!E:E=B20)*'Cleaned data'!O:O=MAX(FILTER('Cleaned data'!O:O, 'Cleaned data'!E:E=B20))))"),"Danaher Corp")</f>
        <v>Danaher Corp</v>
      </c>
      <c r="P20" s="11">
        <f>IFERROR(__xludf.DUMMYFUNCTION("MEDIAN(FILTER('Cleaned data'!O:O, 'Cleaned data'!E:E=B20))"),1041.0)</f>
        <v>1041</v>
      </c>
      <c r="Q20" s="11">
        <f t="shared" si="1"/>
        <v>600</v>
      </c>
    </row>
    <row r="21">
      <c r="A21" s="8">
        <f>COUNTIF('Cleaned data'!E:E, B21)</f>
        <v>14</v>
      </c>
      <c r="B21" s="8" t="s">
        <v>600</v>
      </c>
      <c r="C21" s="8">
        <f>IFERROR(__xludf.DUMMYFUNCTION("MIN(FILTER('Cleaned data'!L:L, 'Cleaned data'!E:E=B21))"),345.0)</f>
        <v>345</v>
      </c>
      <c r="D21" s="8">
        <f>IFERROR(__xludf.DUMMYFUNCTION("MAX(FILTER('Cleaned data'!L:L, 'Cleaned data'!E:E=B21))"),587.0)</f>
        <v>587</v>
      </c>
      <c r="E21" s="8">
        <f>IFERROR(__xludf.DUMMYFUNCTION("MEDIAN(FILTER('Cleaned data'!L:L, 'Cleaned data'!E:E=B21))"),520.0)</f>
        <v>520</v>
      </c>
      <c r="F21" s="8">
        <f>IFERROR(__xludf.DUMMYFUNCTION("MIN(FILTER('Cleaned data'!M:M, 'Cleaned data'!E:E=B21))"),248.0)</f>
        <v>248</v>
      </c>
      <c r="G21" s="8">
        <f>IFERROR(__xludf.DUMMYFUNCTION("MAX(FILTER('Cleaned data'!M:M, 'Cleaned data'!E:E=B21))"),374.0)</f>
        <v>374</v>
      </c>
      <c r="H21" s="8">
        <f>IFERROR(__xludf.DUMMYFUNCTION("MEDIAN(FILTER('Cleaned data'!M:M, 'Cleaned data'!E:E=B21))"),304.0)</f>
        <v>304</v>
      </c>
      <c r="I21" s="8">
        <f>IFERROR(__xludf.DUMMYFUNCTION("MIN(FILTER('Cleaned data'!N:N,'Cleaned data'!E:E=B21))"),220.0)</f>
        <v>220</v>
      </c>
      <c r="J21" s="8">
        <f>IFERROR(__xludf.DUMMYFUNCTION("MAX(FILTER('Cleaned data'!N:N,'Cleaned data'!E:E=B21))"),365.0)</f>
        <v>365</v>
      </c>
      <c r="K21" s="8">
        <f>IFERROR(__xludf.DUMMYFUNCTION("MEDIAN(FILTER('Cleaned data'!N:N, 'Cleaned data'!E:E=B21))"),300.0)</f>
        <v>300</v>
      </c>
      <c r="L21" s="8">
        <f>IFERROR(__xludf.DUMMYFUNCTION("MIN(FILTER('Cleaned data'!O:O, 'Cleaned data'!E:E=B21))"),901.0)</f>
        <v>901</v>
      </c>
      <c r="M21" s="8" t="str">
        <f>IFERROR(__xludf.DUMMYFUNCTION("INDEX(FILTER('Cleaned data'!B:B, ('Cleaned data'!E:E=B21)*'Cleaned data'!O:O=MIN(FILTER('Cleaned data'!O:O, 'Cleaned data'!E:E=B21))))"),"Lamb Weston Holdings Inc")</f>
        <v>Lamb Weston Holdings Inc</v>
      </c>
      <c r="N21" s="8">
        <f>IFERROR(__xludf.DUMMYFUNCTION("MAX(FILTER('Cleaned data'!O:O, 'Cleaned data'!E:E=B21))"),1276.0)</f>
        <v>1276</v>
      </c>
      <c r="O21" s="8" t="str">
        <f>IFERROR(__xludf.DUMMYFUNCTION("INDEX(FILTER('Cleaned data'!B:B, ('Cleaned data'!E:E=B21)*'Cleaned data'!O:O=MAX(FILTER('Cleaned data'!O:O, 'Cleaned data'!E:E=B21))))"),"General Mills Inc")</f>
        <v>General Mills Inc</v>
      </c>
      <c r="P21" s="11">
        <f>IFERROR(__xludf.DUMMYFUNCTION("MEDIAN(FILTER('Cleaned data'!O:O, 'Cleaned data'!E:E=B21))"),1127.0)</f>
        <v>1127</v>
      </c>
      <c r="Q21" s="11">
        <f t="shared" si="1"/>
        <v>375</v>
      </c>
    </row>
    <row r="22">
      <c r="A22" s="8">
        <f>COUNTIF('Cleaned data'!E:E, B22)</f>
        <v>11</v>
      </c>
      <c r="B22" s="8" t="s">
        <v>23</v>
      </c>
      <c r="C22" s="8">
        <f>IFERROR(__xludf.DUMMYFUNCTION("MIN(FILTER('Cleaned data'!L:L, 'Cleaned data'!E:E=B22))"),220.0)</f>
        <v>220</v>
      </c>
      <c r="D22" s="8">
        <f>IFERROR(__xludf.DUMMYFUNCTION("MAX(FILTER('Cleaned data'!L:L, 'Cleaned data'!E:E=B22))"),545.0)</f>
        <v>545</v>
      </c>
      <c r="E22" s="8">
        <f>IFERROR(__xludf.DUMMYFUNCTION("MEDIAN(FILTER('Cleaned data'!L:L, 'Cleaned data'!E:E=B22))"),510.0)</f>
        <v>510</v>
      </c>
      <c r="F22" s="8">
        <f>IFERROR(__xludf.DUMMYFUNCTION("MIN(FILTER('Cleaned data'!M:M, 'Cleaned data'!E:E=B22))"),203.0)</f>
        <v>203</v>
      </c>
      <c r="G22" s="8">
        <f>IFERROR(__xludf.DUMMYFUNCTION("MAX(FILTER('Cleaned data'!M:M, 'Cleaned data'!E:E=B22))"),337.0)</f>
        <v>337</v>
      </c>
      <c r="H22" s="8">
        <f>IFERROR(__xludf.DUMMYFUNCTION("MEDIAN(FILTER('Cleaned data'!M:M, 'Cleaned data'!E:E=B22))"),310.0)</f>
        <v>310</v>
      </c>
      <c r="I22" s="8">
        <f>IFERROR(__xludf.DUMMYFUNCTION("MIN(FILTER('Cleaned data'!N:N,'Cleaned data'!E:E=B22))"),200.0)</f>
        <v>200</v>
      </c>
      <c r="J22" s="8">
        <f>IFERROR(__xludf.DUMMYFUNCTION("MAX(FILTER('Cleaned data'!N:N,'Cleaned data'!E:E=B22))"),400.0)</f>
        <v>400</v>
      </c>
      <c r="K22" s="8">
        <f>IFERROR(__xludf.DUMMYFUNCTION("MEDIAN(FILTER('Cleaned data'!N:N, 'Cleaned data'!E:E=B22))"),300.0)</f>
        <v>300</v>
      </c>
      <c r="L22" s="8">
        <f>IFERROR(__xludf.DUMMYFUNCTION("MIN(FILTER('Cleaned data'!O:O, 'Cleaned data'!E:E=B22))"),633.0)</f>
        <v>633</v>
      </c>
      <c r="M22" s="8" t="str">
        <f>IFERROR(__xludf.DUMMYFUNCTION("INDEX(FILTER('Cleaned data'!B:B, ('Cleaned data'!E:E=B22)*'Cleaned data'!O:O=MIN(FILTER('Cleaned data'!O:O, 'Cleaned data'!E:E=B22))))"),"HEICO Corp")</f>
        <v>HEICO Corp</v>
      </c>
      <c r="N22" s="8">
        <f>IFERROR(__xludf.DUMMYFUNCTION("MAX(FILTER('Cleaned data'!O:O, 'Cleaned data'!E:E=B22))"),1250.0)</f>
        <v>1250</v>
      </c>
      <c r="O22" s="8" t="str">
        <f>IFERROR(__xludf.DUMMYFUNCTION("INDEX(FILTER('Cleaned data'!B:B, ('Cleaned data'!E:E=B22)*'Cleaned data'!O:O=MAX(FILTER('Cleaned data'!O:O, 'Cleaned data'!E:E=B22))))"),"Raytheon Technologies Corp")</f>
        <v>Raytheon Technologies Corp</v>
      </c>
      <c r="P22" s="11">
        <f>IFERROR(__xludf.DUMMYFUNCTION("MEDIAN(FILTER('Cleaned data'!O:O, 'Cleaned data'!E:E=B22))"),1120.0)</f>
        <v>1120</v>
      </c>
      <c r="Q22" s="11">
        <f t="shared" si="1"/>
        <v>617</v>
      </c>
    </row>
    <row r="23">
      <c r="A23" s="8">
        <f>COUNTIF('Cleaned data'!E:E, B23)</f>
        <v>10</v>
      </c>
      <c r="B23" s="8" t="s">
        <v>995</v>
      </c>
      <c r="C23" s="8">
        <f>IFERROR(__xludf.DUMMYFUNCTION("MIN(FILTER('Cleaned data'!L:L, 'Cleaned data'!E:E=B23))"),215.0)</f>
        <v>215</v>
      </c>
      <c r="D23" s="8">
        <f>IFERROR(__xludf.DUMMYFUNCTION("MAX(FILTER('Cleaned data'!L:L, 'Cleaned data'!E:E=B23))"),675.0)</f>
        <v>675</v>
      </c>
      <c r="E23" s="8">
        <f>IFERROR(__xludf.DUMMYFUNCTION("MEDIAN(FILTER('Cleaned data'!L:L, 'Cleaned data'!E:E=B23))"),450.0)</f>
        <v>450</v>
      </c>
      <c r="F23" s="8">
        <f>IFERROR(__xludf.DUMMYFUNCTION("MIN(FILTER('Cleaned data'!M:M, 'Cleaned data'!E:E=B23))"),200.0)</f>
        <v>200</v>
      </c>
      <c r="G23" s="8">
        <f>IFERROR(__xludf.DUMMYFUNCTION("MAX(FILTER('Cleaned data'!M:M, 'Cleaned data'!E:E=B23))"),389.0)</f>
        <v>389</v>
      </c>
      <c r="H23" s="8">
        <f>IFERROR(__xludf.DUMMYFUNCTION("MEDIAN(FILTER('Cleaned data'!M:M, 'Cleaned data'!E:E=B23))"),301.5)</f>
        <v>301.5</v>
      </c>
      <c r="I23" s="8">
        <f>IFERROR(__xludf.DUMMYFUNCTION("MIN(FILTER('Cleaned data'!N:N,'Cleaned data'!E:E=B23))"),200.0)</f>
        <v>200</v>
      </c>
      <c r="J23" s="8">
        <f>IFERROR(__xludf.DUMMYFUNCTION("MAX(FILTER('Cleaned data'!N:N,'Cleaned data'!E:E=B23))"),355.0)</f>
        <v>355</v>
      </c>
      <c r="K23" s="8">
        <f>IFERROR(__xludf.DUMMYFUNCTION("MEDIAN(FILTER('Cleaned data'!N:N, 'Cleaned data'!E:E=B23))"),300.0)</f>
        <v>300</v>
      </c>
      <c r="L23" s="8">
        <f>IFERROR(__xludf.DUMMYFUNCTION("MIN(FILTER('Cleaned data'!O:O, 'Cleaned data'!E:E=B23))"),615.0)</f>
        <v>615</v>
      </c>
      <c r="M23" s="8" t="str">
        <f>IFERROR(__xludf.DUMMYFUNCTION("INDEX(FILTER('Cleaned data'!B:B, ('Cleaned data'!E:E=B23)*'Cleaned data'!O:O=MIN(FILTER('Cleaned data'!O:O, 'Cleaned data'!E:E=B23))))"),"Warrior Met Coal Inc")</f>
        <v>Warrior Met Coal Inc</v>
      </c>
      <c r="N23" s="8">
        <f>IFERROR(__xludf.DUMMYFUNCTION("MAX(FILTER('Cleaned data'!O:O, 'Cleaned data'!E:E=B23))"),1419.0)</f>
        <v>1419</v>
      </c>
      <c r="O23" s="8" t="str">
        <f>IFERROR(__xludf.DUMMYFUNCTION("INDEX(FILTER('Cleaned data'!B:B, ('Cleaned data'!E:E=B23)*'Cleaned data'!O:O=MAX(FILTER('Cleaned data'!O:O, 'Cleaned data'!E:E=B23))))"),"Newmont Corporation")</f>
        <v>Newmont Corporation</v>
      </c>
      <c r="P23" s="11">
        <f>IFERROR(__xludf.DUMMYFUNCTION("MEDIAN(FILTER('Cleaned data'!O:O, 'Cleaned data'!E:E=B23))"),1020.5)</f>
        <v>1020.5</v>
      </c>
      <c r="Q23" s="11">
        <f t="shared" si="1"/>
        <v>804</v>
      </c>
    </row>
    <row r="24">
      <c r="A24" s="8">
        <f>COUNTIF('Cleaned data'!E:E, B24)</f>
        <v>10</v>
      </c>
      <c r="B24" s="8" t="s">
        <v>272</v>
      </c>
      <c r="C24" s="8">
        <f>IFERROR(__xludf.DUMMYFUNCTION("MIN(FILTER('Cleaned data'!L:L, 'Cleaned data'!E:E=B24))"),210.0)</f>
        <v>210</v>
      </c>
      <c r="D24" s="8">
        <f>IFERROR(__xludf.DUMMYFUNCTION("MAX(FILTER('Cleaned data'!L:L, 'Cleaned data'!E:E=B24))"),700.0)</f>
        <v>700</v>
      </c>
      <c r="E24" s="8">
        <f>IFERROR(__xludf.DUMMYFUNCTION("MEDIAN(FILTER('Cleaned data'!L:L, 'Cleaned data'!E:E=B24))"),510.0)</f>
        <v>510</v>
      </c>
      <c r="F24" s="8">
        <f>IFERROR(__xludf.DUMMYFUNCTION("MIN(FILTER('Cleaned data'!M:M, 'Cleaned data'!E:E=B24))"),237.0)</f>
        <v>237</v>
      </c>
      <c r="G24" s="8">
        <f>IFERROR(__xludf.DUMMYFUNCTION("MAX(FILTER('Cleaned data'!M:M, 'Cleaned data'!E:E=B24))"),389.0)</f>
        <v>389</v>
      </c>
      <c r="H24" s="8">
        <f>IFERROR(__xludf.DUMMYFUNCTION("MEDIAN(FILTER('Cleaned data'!M:M, 'Cleaned data'!E:E=B24))"),303.5)</f>
        <v>303.5</v>
      </c>
      <c r="I24" s="8">
        <f>IFERROR(__xludf.DUMMYFUNCTION("MIN(FILTER('Cleaned data'!N:N,'Cleaned data'!E:E=B24))"),223.0)</f>
        <v>223</v>
      </c>
      <c r="J24" s="8">
        <f>IFERROR(__xludf.DUMMYFUNCTION("MAX(FILTER('Cleaned data'!N:N,'Cleaned data'!E:E=B24))"),325.0)</f>
        <v>325</v>
      </c>
      <c r="K24" s="8">
        <f>IFERROR(__xludf.DUMMYFUNCTION("MEDIAN(FILTER('Cleaned data'!N:N, 'Cleaned data'!E:E=B24))"),302.5)</f>
        <v>302.5</v>
      </c>
      <c r="L24" s="8">
        <f>IFERROR(__xludf.DUMMYFUNCTION("MIN(FILTER('Cleaned data'!O:O, 'Cleaned data'!E:E=B24))"),694.0)</f>
        <v>694</v>
      </c>
      <c r="M24" s="8" t="str">
        <f>IFERROR(__xludf.DUMMYFUNCTION("INDEX(FILTER('Cleaned data'!B:B, ('Cleaned data'!E:E=B24)*'Cleaned data'!O:O=MIN(FILTER('Cleaned data'!O:O, 'Cleaned data'!E:E=B24))))"),"Carrier Global Corp")</f>
        <v>Carrier Global Corp</v>
      </c>
      <c r="N24" s="8">
        <f>IFERROR(__xludf.DUMMYFUNCTION("MAX(FILTER('Cleaned data'!O:O, 'Cleaned data'!E:E=B24))"),1409.0)</f>
        <v>1409</v>
      </c>
      <c r="O24" s="8" t="str">
        <f>IFERROR(__xludf.DUMMYFUNCTION("INDEX(FILTER('Cleaned data'!B:B, ('Cleaned data'!E:E=B24)*'Cleaned data'!O:O=MAX(FILTER('Cleaned data'!O:O, 'Cleaned data'!E:E=B24))))"),"Trane Technologies PLC")</f>
        <v>Trane Technologies PLC</v>
      </c>
      <c r="P24" s="11">
        <f>IFERROR(__xludf.DUMMYFUNCTION("MEDIAN(FILTER('Cleaned data'!O:O, 'Cleaned data'!E:E=B24))"),1123.5)</f>
        <v>1123.5</v>
      </c>
      <c r="Q24" s="11">
        <f t="shared" si="1"/>
        <v>715</v>
      </c>
    </row>
    <row r="25">
      <c r="A25" s="8">
        <f>COUNTIF('Cleaned data'!E:E, B25)</f>
        <v>9</v>
      </c>
      <c r="B25" s="8" t="s">
        <v>347</v>
      </c>
      <c r="C25" s="8">
        <f>IFERROR(__xludf.DUMMYFUNCTION("MIN(FILTER('Cleaned data'!L:L, 'Cleaned data'!E:E=B25))"),200.0)</f>
        <v>200</v>
      </c>
      <c r="D25" s="8">
        <f>IFERROR(__xludf.DUMMYFUNCTION("MAX(FILTER('Cleaned data'!L:L, 'Cleaned data'!E:E=B25))"),510.0)</f>
        <v>510</v>
      </c>
      <c r="E25" s="8">
        <f>IFERROR(__xludf.DUMMYFUNCTION("MEDIAN(FILTER('Cleaned data'!L:L, 'Cleaned data'!E:E=B25))"),370.0)</f>
        <v>370</v>
      </c>
      <c r="F25" s="8">
        <f>IFERROR(__xludf.DUMMYFUNCTION("MIN(FILTER('Cleaned data'!M:M, 'Cleaned data'!E:E=B25))"),221.0)</f>
        <v>221</v>
      </c>
      <c r="G25" s="8">
        <f>IFERROR(__xludf.DUMMYFUNCTION("MAX(FILTER('Cleaned data'!M:M, 'Cleaned data'!E:E=B25))"),337.0)</f>
        <v>337</v>
      </c>
      <c r="H25" s="8">
        <f>IFERROR(__xludf.DUMMYFUNCTION("MEDIAN(FILTER('Cleaned data'!M:M, 'Cleaned data'!E:E=B25))"),305.0)</f>
        <v>305</v>
      </c>
      <c r="I25" s="8">
        <f>IFERROR(__xludf.DUMMYFUNCTION("MIN(FILTER('Cleaned data'!N:N,'Cleaned data'!E:E=B25))"),210.0)</f>
        <v>210</v>
      </c>
      <c r="J25" s="8">
        <f>IFERROR(__xludf.DUMMYFUNCTION("MAX(FILTER('Cleaned data'!N:N,'Cleaned data'!E:E=B25))"),365.0)</f>
        <v>365</v>
      </c>
      <c r="K25" s="8">
        <f>IFERROR(__xludf.DUMMYFUNCTION("MEDIAN(FILTER('Cleaned data'!N:N, 'Cleaned data'!E:E=B25))"),295.0)</f>
        <v>295</v>
      </c>
      <c r="L25" s="8">
        <f>IFERROR(__xludf.DUMMYFUNCTION("MIN(FILTER('Cleaned data'!O:O, 'Cleaned data'!E:E=B25))"),636.0)</f>
        <v>636</v>
      </c>
      <c r="M25" s="8" t="str">
        <f>IFERROR(__xludf.DUMMYFUNCTION("INDEX(FILTER('Cleaned data'!B:B, ('Cleaned data'!E:E=B25)*'Cleaned data'!O:O=MIN(FILTER('Cleaned data'!O:O, 'Cleaned data'!E:E=B25))))"),"F5 Inc")</f>
        <v>F5 Inc</v>
      </c>
      <c r="N25" s="8">
        <f>IFERROR(__xludf.DUMMYFUNCTION("MAX(FILTER('Cleaned data'!O:O, 'Cleaned data'!E:E=B25))"),1157.0)</f>
        <v>1157</v>
      </c>
      <c r="O25" s="8" t="str">
        <f>IFERROR(__xludf.DUMMYFUNCTION("INDEX(FILTER('Cleaned data'!B:B, ('Cleaned data'!E:E=B25)*'Cleaned data'!O:O=MAX(FILTER('Cleaned data'!O:O, 'Cleaned data'!E:E=B25))))"),"Motorola Solutions Inc")</f>
        <v>Motorola Solutions Inc</v>
      </c>
      <c r="P25" s="11">
        <f>IFERROR(__xludf.DUMMYFUNCTION("MEDIAN(FILTER('Cleaned data'!O:O, 'Cleaned data'!E:E=B25))"),1015.0)</f>
        <v>1015</v>
      </c>
      <c r="Q25" s="11">
        <f t="shared" si="1"/>
        <v>521</v>
      </c>
    </row>
    <row r="26">
      <c r="A26" s="8">
        <f>COUNTIF('Cleaned data'!E:E, B26)</f>
        <v>9</v>
      </c>
      <c r="B26" s="8" t="s">
        <v>1405</v>
      </c>
      <c r="C26" s="8">
        <f>IFERROR(__xludf.DUMMYFUNCTION("MIN(FILTER('Cleaned data'!L:L, 'Cleaned data'!E:E=B26))"),200.0)</f>
        <v>200</v>
      </c>
      <c r="D26" s="8">
        <f>IFERROR(__xludf.DUMMYFUNCTION("MAX(FILTER('Cleaned data'!L:L, 'Cleaned data'!E:E=B26))"),508.0)</f>
        <v>508</v>
      </c>
      <c r="E26" s="8">
        <f>IFERROR(__xludf.DUMMYFUNCTION("MEDIAN(FILTER('Cleaned data'!L:L, 'Cleaned data'!E:E=B26))"),418.0)</f>
        <v>418</v>
      </c>
      <c r="F26" s="8">
        <f>IFERROR(__xludf.DUMMYFUNCTION("MIN(FILTER('Cleaned data'!M:M, 'Cleaned data'!E:E=B26))"),211.0)</f>
        <v>211</v>
      </c>
      <c r="G26" s="8">
        <f>IFERROR(__xludf.DUMMYFUNCTION("MAX(FILTER('Cleaned data'!M:M, 'Cleaned data'!E:E=B26))"),352.0)</f>
        <v>352</v>
      </c>
      <c r="H26" s="8">
        <f>IFERROR(__xludf.DUMMYFUNCTION("MEDIAN(FILTER('Cleaned data'!M:M, 'Cleaned data'!E:E=B26))"),298.0)</f>
        <v>298</v>
      </c>
      <c r="I26" s="8">
        <f>IFERROR(__xludf.DUMMYFUNCTION("MIN(FILTER('Cleaned data'!N:N,'Cleaned data'!E:E=B26))"),200.0)</f>
        <v>200</v>
      </c>
      <c r="J26" s="8">
        <f>IFERROR(__xludf.DUMMYFUNCTION("MAX(FILTER('Cleaned data'!N:N,'Cleaned data'!E:E=B26))"),315.0)</f>
        <v>315</v>
      </c>
      <c r="K26" s="8">
        <f>IFERROR(__xludf.DUMMYFUNCTION("MEDIAN(FILTER('Cleaned data'!N:N, 'Cleaned data'!E:E=B26))"),300.0)</f>
        <v>300</v>
      </c>
      <c r="L26" s="8">
        <f>IFERROR(__xludf.DUMMYFUNCTION("MIN(FILTER('Cleaned data'!O:O, 'Cleaned data'!E:E=B26))"),621.0)</f>
        <v>621</v>
      </c>
      <c r="M26" s="8" t="str">
        <f>IFERROR(__xludf.DUMMYFUNCTION("INDEX(FILTER('Cleaned data'!B:B, ('Cleaned data'!E:E=B26)*'Cleaned data'!O:O=MIN(FILTER('Cleaned data'!O:O, 'Cleaned data'!E:E=B26))))"),"Ever-Glory International Group Inc")</f>
        <v>Ever-Glory International Group Inc</v>
      </c>
      <c r="N26" s="8">
        <f>IFERROR(__xludf.DUMMYFUNCTION("MAX(FILTER('Cleaned data'!O:O, 'Cleaned data'!E:E=B26))"),1106.0)</f>
        <v>1106</v>
      </c>
      <c r="O26" s="8" t="str">
        <f>IFERROR(__xludf.DUMMYFUNCTION("INDEX(FILTER('Cleaned data'!B:B, ('Cleaned data'!E:E=B26)*'Cleaned data'!O:O=MAX(FILTER('Cleaned data'!O:O, 'Cleaned data'!E:E=B26))))"),"VF Corp")</f>
        <v>VF Corp</v>
      </c>
      <c r="P26" s="11">
        <f>IFERROR(__xludf.DUMMYFUNCTION("MEDIAN(FILTER('Cleaned data'!O:O, 'Cleaned data'!E:E=B26))"),1039.0)</f>
        <v>1039</v>
      </c>
      <c r="Q26" s="11">
        <f t="shared" si="1"/>
        <v>485</v>
      </c>
    </row>
    <row r="27">
      <c r="A27" s="8">
        <f>COUNTIF('Cleaned data'!E:E, B27)</f>
        <v>7</v>
      </c>
      <c r="B27" s="8" t="s">
        <v>332</v>
      </c>
      <c r="C27" s="8">
        <f>IFERROR(__xludf.DUMMYFUNCTION("MIN(FILTER('Cleaned data'!L:L, 'Cleaned data'!E:E=B27))"),235.0)</f>
        <v>235</v>
      </c>
      <c r="D27" s="8">
        <f>IFERROR(__xludf.DUMMYFUNCTION("MAX(FILTER('Cleaned data'!L:L, 'Cleaned data'!E:E=B27))"),613.0)</f>
        <v>613</v>
      </c>
      <c r="E27" s="8">
        <f>IFERROR(__xludf.DUMMYFUNCTION("MEDIAN(FILTER('Cleaned data'!L:L, 'Cleaned data'!E:E=B27))"),500.0)</f>
        <v>500</v>
      </c>
      <c r="F27" s="8">
        <f>IFERROR(__xludf.DUMMYFUNCTION("MIN(FILTER('Cleaned data'!M:M, 'Cleaned data'!E:E=B27))"),204.0)</f>
        <v>204</v>
      </c>
      <c r="G27" s="8">
        <f>IFERROR(__xludf.DUMMYFUNCTION("MAX(FILTER('Cleaned data'!M:M, 'Cleaned data'!E:E=B27))"),408.0)</f>
        <v>408</v>
      </c>
      <c r="H27" s="8">
        <f>IFERROR(__xludf.DUMMYFUNCTION("MEDIAN(FILTER('Cleaned data'!M:M, 'Cleaned data'!E:E=B27))"),300.0)</f>
        <v>300</v>
      </c>
      <c r="I27" s="8">
        <f>IFERROR(__xludf.DUMMYFUNCTION("MIN(FILTER('Cleaned data'!N:N,'Cleaned data'!E:E=B27))"),205.0)</f>
        <v>205</v>
      </c>
      <c r="J27" s="8">
        <f>IFERROR(__xludf.DUMMYFUNCTION("MAX(FILTER('Cleaned data'!N:N,'Cleaned data'!E:E=B27))"),315.0)</f>
        <v>315</v>
      </c>
      <c r="K27" s="8">
        <f>IFERROR(__xludf.DUMMYFUNCTION("MEDIAN(FILTER('Cleaned data'!N:N, 'Cleaned data'!E:E=B27))"),300.0)</f>
        <v>300</v>
      </c>
      <c r="L27" s="8">
        <f>IFERROR(__xludf.DUMMYFUNCTION("MIN(FILTER('Cleaned data'!O:O, 'Cleaned data'!E:E=B27))"),679.0)</f>
        <v>679</v>
      </c>
      <c r="M27" s="8" t="str">
        <f>IFERROR(__xludf.DUMMYFUNCTION("INDEX(FILTER('Cleaned data'!B:B, ('Cleaned data'!E:E=B27)*'Cleaned data'!O:O=MIN(FILTER('Cleaned data'!O:O, 'Cleaned data'!E:E=B27))))"),"Copart Inc")</f>
        <v>Copart Inc</v>
      </c>
      <c r="N27" s="8">
        <f>IFERROR(__xludf.DUMMYFUNCTION("MAX(FILTER('Cleaned data'!O:O, 'Cleaned data'!E:E=B27))"),1306.0)</f>
        <v>1306</v>
      </c>
      <c r="O27" s="8" t="str">
        <f>IFERROR(__xludf.DUMMYFUNCTION("INDEX(FILTER('Cleaned data'!B:B, ('Cleaned data'!E:E=B27)*'Cleaned data'!O:O=MAX(FILTER('Cleaned data'!O:O, 'Cleaned data'!E:E=B27))))"),"Waste Management Inc")</f>
        <v>Waste Management Inc</v>
      </c>
      <c r="P27" s="11">
        <f>IFERROR(__xludf.DUMMYFUNCTION("MEDIAN(FILTER('Cleaned data'!O:O, 'Cleaned data'!E:E=B27))"),1100.0)</f>
        <v>1100</v>
      </c>
      <c r="Q27" s="11">
        <f t="shared" si="1"/>
        <v>627</v>
      </c>
    </row>
    <row r="28">
      <c r="A28" s="8">
        <f>COUNTIF('Cleaned data'!E:E, B28)</f>
        <v>7</v>
      </c>
      <c r="B28" s="8" t="s">
        <v>52</v>
      </c>
      <c r="C28" s="8">
        <f>IFERROR(__xludf.DUMMYFUNCTION("MIN(FILTER('Cleaned data'!L:L, 'Cleaned data'!E:E=B28))"),200.0)</f>
        <v>200</v>
      </c>
      <c r="D28" s="8">
        <f>IFERROR(__xludf.DUMMYFUNCTION("MAX(FILTER('Cleaned data'!L:L, 'Cleaned data'!E:E=B28))"),515.0)</f>
        <v>515</v>
      </c>
      <c r="E28" s="8">
        <f>IFERROR(__xludf.DUMMYFUNCTION("MEDIAN(FILTER('Cleaned data'!L:L, 'Cleaned data'!E:E=B28))"),287.0)</f>
        <v>287</v>
      </c>
      <c r="F28" s="8">
        <f>IFERROR(__xludf.DUMMYFUNCTION("MIN(FILTER('Cleaned data'!M:M, 'Cleaned data'!E:E=B28))"),203.0)</f>
        <v>203</v>
      </c>
      <c r="G28" s="8">
        <f>IFERROR(__xludf.DUMMYFUNCTION("MAX(FILTER('Cleaned data'!M:M, 'Cleaned data'!E:E=B28))"),321.0)</f>
        <v>321</v>
      </c>
      <c r="H28" s="8">
        <f>IFERROR(__xludf.DUMMYFUNCTION("MEDIAN(FILTER('Cleaned data'!M:M, 'Cleaned data'!E:E=B28))"),300.0)</f>
        <v>300</v>
      </c>
      <c r="I28" s="8">
        <f>IFERROR(__xludf.DUMMYFUNCTION("MIN(FILTER('Cleaned data'!N:N,'Cleaned data'!E:E=B28))"),200.0)</f>
        <v>200</v>
      </c>
      <c r="J28" s="8">
        <f>IFERROR(__xludf.DUMMYFUNCTION("MAX(FILTER('Cleaned data'!N:N,'Cleaned data'!E:E=B28))"),313.0)</f>
        <v>313</v>
      </c>
      <c r="K28" s="8">
        <f>IFERROR(__xludf.DUMMYFUNCTION("MEDIAN(FILTER('Cleaned data'!N:N, 'Cleaned data'!E:E=B28))"),248.0)</f>
        <v>248</v>
      </c>
      <c r="L28" s="8">
        <f>IFERROR(__xludf.DUMMYFUNCTION("MIN(FILTER('Cleaned data'!O:O, 'Cleaned data'!E:E=B28))"),629.0)</f>
        <v>629</v>
      </c>
      <c r="M28" s="8" t="str">
        <f>IFERROR(__xludf.DUMMYFUNCTION("INDEX(FILTER('Cleaned data'!B:B, ('Cleaned data'!E:E=B28)*'Cleaned data'!O:O=MIN(FILTER('Cleaned data'!O:O, 'Cleaned data'!E:E=B28))))"),"United Airlines Holdings Inc")</f>
        <v>United Airlines Holdings Inc</v>
      </c>
      <c r="N28" s="8">
        <f>IFERROR(__xludf.DUMMYFUNCTION("MAX(FILTER('Cleaned data'!O:O, 'Cleaned data'!E:E=B28))"),1128.0)</f>
        <v>1128</v>
      </c>
      <c r="O28" s="8" t="str">
        <f>IFERROR(__xludf.DUMMYFUNCTION("INDEX(FILTER('Cleaned data'!B:B, ('Cleaned data'!E:E=B28)*'Cleaned data'!O:O=MAX(FILTER('Cleaned data'!O:O, 'Cleaned data'!E:E=B28))))"),"Delta Air Lines Inc")</f>
        <v>Delta Air Lines Inc</v>
      </c>
      <c r="P28" s="11">
        <f>IFERROR(__xludf.DUMMYFUNCTION("MEDIAN(FILTER('Cleaned data'!O:O, 'Cleaned data'!E:E=B28))"),746.0)</f>
        <v>746</v>
      </c>
      <c r="Q28" s="11">
        <f t="shared" si="1"/>
        <v>499</v>
      </c>
    </row>
    <row r="29">
      <c r="A29" s="8">
        <f>COUNTIF('Cleaned data'!E:E, B29)</f>
        <v>7</v>
      </c>
      <c r="B29" s="8" t="s">
        <v>1068</v>
      </c>
      <c r="C29" s="8">
        <f>IFERROR(__xludf.DUMMYFUNCTION("MIN(FILTER('Cleaned data'!L:L, 'Cleaned data'!E:E=B29))"),255.0)</f>
        <v>255</v>
      </c>
      <c r="D29" s="8">
        <f>IFERROR(__xludf.DUMMYFUNCTION("MAX(FILTER('Cleaned data'!L:L, 'Cleaned data'!E:E=B29))"),615.0)</f>
        <v>615</v>
      </c>
      <c r="E29" s="8">
        <f>IFERROR(__xludf.DUMMYFUNCTION("MEDIAN(FILTER('Cleaned data'!L:L, 'Cleaned data'!E:E=B29))"),500.0)</f>
        <v>500</v>
      </c>
      <c r="F29" s="8">
        <f>IFERROR(__xludf.DUMMYFUNCTION("MIN(FILTER('Cleaned data'!M:M, 'Cleaned data'!E:E=B29))"),264.0)</f>
        <v>264</v>
      </c>
      <c r="G29" s="8">
        <f>IFERROR(__xludf.DUMMYFUNCTION("MAX(FILTER('Cleaned data'!M:M, 'Cleaned data'!E:E=B29))"),366.0)</f>
        <v>366</v>
      </c>
      <c r="H29" s="8">
        <f>IFERROR(__xludf.DUMMYFUNCTION("MEDIAN(FILTER('Cleaned data'!M:M, 'Cleaned data'!E:E=B29))"),310.0)</f>
        <v>310</v>
      </c>
      <c r="I29" s="8">
        <f>IFERROR(__xludf.DUMMYFUNCTION("MIN(FILTER('Cleaned data'!N:N,'Cleaned data'!E:E=B29))"),278.0)</f>
        <v>278</v>
      </c>
      <c r="J29" s="8">
        <f>IFERROR(__xludf.DUMMYFUNCTION("MAX(FILTER('Cleaned data'!N:N,'Cleaned data'!E:E=B29))"),310.0)</f>
        <v>310</v>
      </c>
      <c r="K29" s="8">
        <f>IFERROR(__xludf.DUMMYFUNCTION("MEDIAN(FILTER('Cleaned data'!N:N, 'Cleaned data'!E:E=B29))"),300.0)</f>
        <v>300</v>
      </c>
      <c r="L29" s="8">
        <f>IFERROR(__xludf.DUMMYFUNCTION("MIN(FILTER('Cleaned data'!O:O, 'Cleaned data'!E:E=B29))"),817.0)</f>
        <v>817</v>
      </c>
      <c r="M29" s="8" t="str">
        <f>IFERROR(__xludf.DUMMYFUNCTION("INDEX(FILTER('Cleaned data'!B:B, ('Cleaned data'!E:E=B29)*'Cleaned data'!O:O=MIN(FILTER('Cleaned data'!O:O, 'Cleaned data'!E:E=B29))))"),"Upwork Inc")</f>
        <v>Upwork Inc</v>
      </c>
      <c r="N29" s="8">
        <f>IFERROR(__xludf.DUMMYFUNCTION("MAX(FILTER('Cleaned data'!O:O, 'Cleaned data'!E:E=B29))"),1281.0)</f>
        <v>1281</v>
      </c>
      <c r="O29" s="8" t="str">
        <f>IFERROR(__xludf.DUMMYFUNCTION("INDEX(FILTER('Cleaned data'!B:B, ('Cleaned data'!E:E=B29)*'Cleaned data'!O:O=MAX(FILTER('Cleaned data'!O:O, 'Cleaned data'!E:E=B29))))"),"Verisk Analytics Inc")</f>
        <v>Verisk Analytics Inc</v>
      </c>
      <c r="P29" s="11">
        <f>IFERROR(__xludf.DUMMYFUNCTION("MEDIAN(FILTER('Cleaned data'!O:O, 'Cleaned data'!E:E=B29))"),1100.0)</f>
        <v>1100</v>
      </c>
      <c r="Q29" s="11">
        <f t="shared" si="1"/>
        <v>464</v>
      </c>
    </row>
    <row r="30">
      <c r="A30" s="8">
        <f>COUNTIF('Cleaned data'!E:E, B30)</f>
        <v>6</v>
      </c>
      <c r="B30" s="8" t="s">
        <v>366</v>
      </c>
      <c r="C30" s="8">
        <f>IFERROR(__xludf.DUMMYFUNCTION("MIN(FILTER('Cleaned data'!L:L, 'Cleaned data'!E:E=B30))"),200.0)</f>
        <v>200</v>
      </c>
      <c r="D30" s="8">
        <f>IFERROR(__xludf.DUMMYFUNCTION("MAX(FILTER('Cleaned data'!L:L, 'Cleaned data'!E:E=B30))"),589.0)</f>
        <v>589</v>
      </c>
      <c r="E30" s="8">
        <f>IFERROR(__xludf.DUMMYFUNCTION("MEDIAN(FILTER('Cleaned data'!L:L, 'Cleaned data'!E:E=B30))"),555.0)</f>
        <v>555</v>
      </c>
      <c r="F30" s="8">
        <f>IFERROR(__xludf.DUMMYFUNCTION("MIN(FILTER('Cleaned data'!M:M, 'Cleaned data'!E:E=B30))"),200.0)</f>
        <v>200</v>
      </c>
      <c r="G30" s="8">
        <f>IFERROR(__xludf.DUMMYFUNCTION("MAX(FILTER('Cleaned data'!M:M, 'Cleaned data'!E:E=B30))"),390.0)</f>
        <v>390</v>
      </c>
      <c r="H30" s="8">
        <f>IFERROR(__xludf.DUMMYFUNCTION("MEDIAN(FILTER('Cleaned data'!M:M, 'Cleaned data'!E:E=B30))"),316.0)</f>
        <v>316</v>
      </c>
      <c r="I30" s="8">
        <f>IFERROR(__xludf.DUMMYFUNCTION("MIN(FILTER('Cleaned data'!N:N,'Cleaned data'!E:E=B30))"),200.0)</f>
        <v>200</v>
      </c>
      <c r="J30" s="8">
        <f>IFERROR(__xludf.DUMMYFUNCTION("MAX(FILTER('Cleaned data'!N:N,'Cleaned data'!E:E=B30))"),310.0)</f>
        <v>310</v>
      </c>
      <c r="K30" s="8">
        <f>IFERROR(__xludf.DUMMYFUNCTION("MEDIAN(FILTER('Cleaned data'!N:N, 'Cleaned data'!E:E=B30))"),300.0)</f>
        <v>300</v>
      </c>
      <c r="L30" s="8">
        <f>IFERROR(__xludf.DUMMYFUNCTION("MIN(FILTER('Cleaned data'!O:O, 'Cleaned data'!E:E=B30))"),600.0)</f>
        <v>600</v>
      </c>
      <c r="M30" s="8" t="str">
        <f>IFERROR(__xludf.DUMMYFUNCTION("INDEX(FILTER('Cleaned data'!B:B, ('Cleaned data'!E:E=B30)*'Cleaned data'!O:O=MIN(FILTER('Cleaned data'!O:O, 'Cleaned data'!E:E=B30))))"),"Granite Construction Inc")</f>
        <v>Granite Construction Inc</v>
      </c>
      <c r="N30" s="8">
        <f>IFERROR(__xludf.DUMMYFUNCTION("MAX(FILTER('Cleaned data'!O:O, 'Cleaned data'!E:E=B30))"),1256.0)</f>
        <v>1256</v>
      </c>
      <c r="O30" s="8" t="str">
        <f>IFERROR(__xludf.DUMMYFUNCTION("INDEX(FILTER('Cleaned data'!B:B, ('Cleaned data'!E:E=B30)*'Cleaned data'!O:O=MAX(FILTER('Cleaned data'!O:O, 'Cleaned data'!E:E=B30))))"),"Matrix Service Co")</f>
        <v>Matrix Service Co</v>
      </c>
      <c r="P30" s="11">
        <f>IFERROR(__xludf.DUMMYFUNCTION("MEDIAN(FILTER('Cleaned data'!O:O, 'Cleaned data'!E:E=B30))"),1187.5)</f>
        <v>1187.5</v>
      </c>
      <c r="Q30" s="11">
        <f t="shared" si="1"/>
        <v>656</v>
      </c>
    </row>
    <row r="31">
      <c r="A31" s="8">
        <f>COUNTIF('Cleaned data'!E:E, B31)</f>
        <v>6</v>
      </c>
      <c r="B31" s="8" t="s">
        <v>885</v>
      </c>
      <c r="C31" s="8">
        <f>IFERROR(__xludf.DUMMYFUNCTION("MIN(FILTER('Cleaned data'!L:L, 'Cleaned data'!E:E=B31))"),234.0)</f>
        <v>234</v>
      </c>
      <c r="D31" s="8">
        <f>IFERROR(__xludf.DUMMYFUNCTION("MAX(FILTER('Cleaned data'!L:L, 'Cleaned data'!E:E=B31))"),575.0)</f>
        <v>575</v>
      </c>
      <c r="E31" s="8">
        <f>IFERROR(__xludf.DUMMYFUNCTION("MEDIAN(FILTER('Cleaned data'!L:L, 'Cleaned data'!E:E=B31))"),515.0)</f>
        <v>515</v>
      </c>
      <c r="F31" s="8">
        <f>IFERROR(__xludf.DUMMYFUNCTION("MIN(FILTER('Cleaned data'!M:M, 'Cleaned data'!E:E=B31))"),210.0)</f>
        <v>210</v>
      </c>
      <c r="G31" s="8">
        <f>IFERROR(__xludf.DUMMYFUNCTION("MAX(FILTER('Cleaned data'!M:M, 'Cleaned data'!E:E=B31))"),374.0)</f>
        <v>374</v>
      </c>
      <c r="H31" s="8">
        <f>IFERROR(__xludf.DUMMYFUNCTION("MEDIAN(FILTER('Cleaned data'!M:M, 'Cleaned data'!E:E=B31))"),290.0)</f>
        <v>290</v>
      </c>
      <c r="I31" s="8">
        <f>IFERROR(__xludf.DUMMYFUNCTION("MIN(FILTER('Cleaned data'!N:N,'Cleaned data'!E:E=B31))"),237.0)</f>
        <v>237</v>
      </c>
      <c r="J31" s="8">
        <f>IFERROR(__xludf.DUMMYFUNCTION("MAX(FILTER('Cleaned data'!N:N,'Cleaned data'!E:E=B31))"),338.0)</f>
        <v>338</v>
      </c>
      <c r="K31" s="8">
        <f>IFERROR(__xludf.DUMMYFUNCTION("MEDIAN(FILTER('Cleaned data'!N:N, 'Cleaned data'!E:E=B31))"),277.5)</f>
        <v>277.5</v>
      </c>
      <c r="L31" s="8">
        <f>IFERROR(__xludf.DUMMYFUNCTION("MIN(FILTER('Cleaned data'!O:O, 'Cleaned data'!E:E=B31))"),769.0)</f>
        <v>769</v>
      </c>
      <c r="M31" s="8" t="str">
        <f>IFERROR(__xludf.DUMMYFUNCTION("INDEX(FILTER('Cleaned data'!B:B, ('Cleaned data'!E:E=B31)*'Cleaned data'!O:O=MIN(FILTER('Cleaned data'!O:O, 'Cleaned data'!E:E=B31))))"),"Air T Inc")</f>
        <v>Air T Inc</v>
      </c>
      <c r="N31" s="8">
        <f>IFERROR(__xludf.DUMMYFUNCTION("MAX(FILTER('Cleaned data'!O:O, 'Cleaned data'!E:E=B31))"),1243.0)</f>
        <v>1243</v>
      </c>
      <c r="O31" s="8" t="str">
        <f>IFERROR(__xludf.DUMMYFUNCTION("INDEX(FILTER('Cleaned data'!B:B, ('Cleaned data'!E:E=B31)*'Cleaned data'!O:O=MAX(FILTER('Cleaned data'!O:O, 'Cleaned data'!E:E=B31))))"),"CH Robinson Worldwide Inc")</f>
        <v>CH Robinson Worldwide Inc</v>
      </c>
      <c r="P31" s="11">
        <f>IFERROR(__xludf.DUMMYFUNCTION("MEDIAN(FILTER('Cleaned data'!O:O, 'Cleaned data'!E:E=B31))"),1056.0)</f>
        <v>1056</v>
      </c>
      <c r="Q31" s="11">
        <f t="shared" si="1"/>
        <v>474</v>
      </c>
    </row>
    <row r="32">
      <c r="A32" s="8">
        <f>COUNTIF('Cleaned data'!E:E, B32)</f>
        <v>6</v>
      </c>
      <c r="B32" s="8" t="s">
        <v>1209</v>
      </c>
      <c r="C32" s="8">
        <f>IFERROR(__xludf.DUMMYFUNCTION("MIN(FILTER('Cleaned data'!L:L, 'Cleaned data'!E:E=B32))"),290.0)</f>
        <v>290</v>
      </c>
      <c r="D32" s="8">
        <f>IFERROR(__xludf.DUMMYFUNCTION("MAX(FILTER('Cleaned data'!L:L, 'Cleaned data'!E:E=B32))"),560.0)</f>
        <v>560</v>
      </c>
      <c r="E32" s="8">
        <f>IFERROR(__xludf.DUMMYFUNCTION("MEDIAN(FILTER('Cleaned data'!L:L, 'Cleaned data'!E:E=B32))"),488.5)</f>
        <v>488.5</v>
      </c>
      <c r="F32" s="8">
        <f>IFERROR(__xludf.DUMMYFUNCTION("MIN(FILTER('Cleaned data'!M:M, 'Cleaned data'!E:E=B32))"),257.0)</f>
        <v>257</v>
      </c>
      <c r="G32" s="8">
        <f>IFERROR(__xludf.DUMMYFUNCTION("MAX(FILTER('Cleaned data'!M:M, 'Cleaned data'!E:E=B32))"),423.0)</f>
        <v>423</v>
      </c>
      <c r="H32" s="8">
        <f>IFERROR(__xludf.DUMMYFUNCTION("MEDIAN(FILTER('Cleaned data'!M:M, 'Cleaned data'!E:E=B32))"),314.5)</f>
        <v>314.5</v>
      </c>
      <c r="I32" s="8">
        <f>IFERROR(__xludf.DUMMYFUNCTION("MIN(FILTER('Cleaned data'!N:N,'Cleaned data'!E:E=B32))"),245.0)</f>
        <v>245</v>
      </c>
      <c r="J32" s="8">
        <f>IFERROR(__xludf.DUMMYFUNCTION("MAX(FILTER('Cleaned data'!N:N,'Cleaned data'!E:E=B32))"),330.0)</f>
        <v>330</v>
      </c>
      <c r="K32" s="8">
        <f>IFERROR(__xludf.DUMMYFUNCTION("MEDIAN(FILTER('Cleaned data'!N:N, 'Cleaned data'!E:E=B32))"),301.5)</f>
        <v>301.5</v>
      </c>
      <c r="L32" s="8">
        <f>IFERROR(__xludf.DUMMYFUNCTION("MIN(FILTER('Cleaned data'!O:O, 'Cleaned data'!E:E=B32))"),792.0)</f>
        <v>792</v>
      </c>
      <c r="M32" s="8" t="str">
        <f>IFERROR(__xludf.DUMMYFUNCTION("INDEX(FILTER('Cleaned data'!B:B, ('Cleaned data'!E:E=B32)*'Cleaned data'!O:O=MIN(FILTER('Cleaned data'!O:O, 'Cleaned data'!E:E=B32))))"),"Union Pacific Corp")</f>
        <v>Union Pacific Corp</v>
      </c>
      <c r="N32" s="8">
        <f>IFERROR(__xludf.DUMMYFUNCTION("MAX(FILTER('Cleaned data'!O:O, 'Cleaned data'!E:E=B32))"),1178.0)</f>
        <v>1178</v>
      </c>
      <c r="O32" s="8" t="str">
        <f>IFERROR(__xludf.DUMMYFUNCTION("INDEX(FILTER('Cleaned data'!B:B, ('Cleaned data'!E:E=B32)*'Cleaned data'!O:O=MAX(FILTER('Cleaned data'!O:O, 'Cleaned data'!E:E=B32))))"),"XPO Logistics Inc")</f>
        <v>XPO Logistics Inc</v>
      </c>
      <c r="P32" s="11">
        <f>IFERROR(__xludf.DUMMYFUNCTION("MEDIAN(FILTER('Cleaned data'!O:O, 'Cleaned data'!E:E=B32))"),1145.5)</f>
        <v>1145.5</v>
      </c>
      <c r="Q32" s="11">
        <f t="shared" si="1"/>
        <v>386</v>
      </c>
    </row>
    <row r="33">
      <c r="A33" s="8">
        <f>COUNTIF('Cleaned data'!E:E, B33)</f>
        <v>5</v>
      </c>
      <c r="B33" s="8" t="s">
        <v>1429</v>
      </c>
      <c r="C33" s="8">
        <f>IFERROR(__xludf.DUMMYFUNCTION("MIN(FILTER('Cleaned data'!L:L, 'Cleaned data'!E:E=B33))"),230.0)</f>
        <v>230</v>
      </c>
      <c r="D33" s="8">
        <f>IFERROR(__xludf.DUMMYFUNCTION("MAX(FILTER('Cleaned data'!L:L, 'Cleaned data'!E:E=B33))"),477.0)</f>
        <v>477</v>
      </c>
      <c r="E33" s="8">
        <f>IFERROR(__xludf.DUMMYFUNCTION("MEDIAN(FILTER('Cleaned data'!L:L, 'Cleaned data'!E:E=B33))"),255.0)</f>
        <v>255</v>
      </c>
      <c r="F33" s="8">
        <f>IFERROR(__xludf.DUMMYFUNCTION("MIN(FILTER('Cleaned data'!M:M, 'Cleaned data'!E:E=B33))"),201.0)</f>
        <v>201</v>
      </c>
      <c r="G33" s="8">
        <f>IFERROR(__xludf.DUMMYFUNCTION("MAX(FILTER('Cleaned data'!M:M, 'Cleaned data'!E:E=B33))"),385.0)</f>
        <v>385</v>
      </c>
      <c r="H33" s="8">
        <f>IFERROR(__xludf.DUMMYFUNCTION("MEDIAN(FILTER('Cleaned data'!M:M, 'Cleaned data'!E:E=B33))"),306.0)</f>
        <v>306</v>
      </c>
      <c r="I33" s="8">
        <f>IFERROR(__xludf.DUMMYFUNCTION("MIN(FILTER('Cleaned data'!N:N,'Cleaned data'!E:E=B33))"),200.0)</f>
        <v>200</v>
      </c>
      <c r="J33" s="8">
        <f>IFERROR(__xludf.DUMMYFUNCTION("MAX(FILTER('Cleaned data'!N:N,'Cleaned data'!E:E=B33))"),300.0)</f>
        <v>300</v>
      </c>
      <c r="K33" s="8">
        <f>IFERROR(__xludf.DUMMYFUNCTION("MEDIAN(FILTER('Cleaned data'!N:N, 'Cleaned data'!E:E=B33))"),240.0)</f>
        <v>240</v>
      </c>
      <c r="L33" s="8">
        <f>IFERROR(__xludf.DUMMYFUNCTION("MIN(FILTER('Cleaned data'!O:O, 'Cleaned data'!E:E=B33))"),641.0)</f>
        <v>641</v>
      </c>
      <c r="M33" s="8" t="str">
        <f>IFERROR(__xludf.DUMMYFUNCTION("INDEX(FILTER('Cleaned data'!B:B, ('Cleaned data'!E:E=B33)*'Cleaned data'!O:O=MIN(FILTER('Cleaned data'!O:O, 'Cleaned data'!E:E=B33))))"),"Euro Tech Holdings Company Ltd")</f>
        <v>Euro Tech Holdings Company Ltd</v>
      </c>
      <c r="N33" s="8">
        <f>IFERROR(__xludf.DUMMYFUNCTION("MAX(FILTER('Cleaned data'!O:O, 'Cleaned data'!E:E=B33))"),1090.0)</f>
        <v>1090</v>
      </c>
      <c r="O33" s="8" t="str">
        <f>IFERROR(__xludf.DUMMYFUNCTION("INDEX(FILTER('Cleaned data'!B:B, ('Cleaned data'!E:E=B33)*'Cleaned data'!O:O=MAX(FILTER('Cleaned data'!O:O, 'Cleaned data'!E:E=B33))))"),"United Rentals Inc")</f>
        <v>United Rentals Inc</v>
      </c>
      <c r="P33" s="11">
        <f>IFERROR(__xludf.DUMMYFUNCTION("MEDIAN(FILTER('Cleaned data'!O:O, 'Cleaned data'!E:E=B33))"),880.0)</f>
        <v>880</v>
      </c>
      <c r="Q33" s="11">
        <f t="shared" si="1"/>
        <v>449</v>
      </c>
    </row>
    <row r="34">
      <c r="A34" s="8">
        <f>COUNTIF('Cleaned data'!E:E, B34)</f>
        <v>4</v>
      </c>
      <c r="B34" s="8" t="s">
        <v>146</v>
      </c>
      <c r="C34" s="8">
        <f>IFERROR(__xludf.DUMMYFUNCTION("MIN(FILTER('Cleaned data'!L:L, 'Cleaned data'!E:E=B34))"),200.0)</f>
        <v>200</v>
      </c>
      <c r="D34" s="8">
        <f>IFERROR(__xludf.DUMMYFUNCTION("MAX(FILTER('Cleaned data'!L:L, 'Cleaned data'!E:E=B34))"),719.0)</f>
        <v>719</v>
      </c>
      <c r="E34" s="8">
        <f>IFERROR(__xludf.DUMMYFUNCTION("MEDIAN(FILTER('Cleaned data'!L:L, 'Cleaned data'!E:E=B34))"),487.0)</f>
        <v>487</v>
      </c>
      <c r="F34" s="8">
        <f>IFERROR(__xludf.DUMMYFUNCTION("MIN(FILTER('Cleaned data'!M:M, 'Cleaned data'!E:E=B34))"),201.0)</f>
        <v>201</v>
      </c>
      <c r="G34" s="8">
        <f>IFERROR(__xludf.DUMMYFUNCTION("MAX(FILTER('Cleaned data'!M:M, 'Cleaned data'!E:E=B34))"),344.0)</f>
        <v>344</v>
      </c>
      <c r="H34" s="8">
        <f>IFERROR(__xludf.DUMMYFUNCTION("MEDIAN(FILTER('Cleaned data'!M:M, 'Cleaned data'!E:E=B34))"),326.5)</f>
        <v>326.5</v>
      </c>
      <c r="I34" s="8">
        <f>IFERROR(__xludf.DUMMYFUNCTION("MIN(FILTER('Cleaned data'!N:N,'Cleaned data'!E:E=B34))"),200.0)</f>
        <v>200</v>
      </c>
      <c r="J34" s="8">
        <f>IFERROR(__xludf.DUMMYFUNCTION("MAX(FILTER('Cleaned data'!N:N,'Cleaned data'!E:E=B34))"),358.0)</f>
        <v>358</v>
      </c>
      <c r="K34" s="8">
        <f>IFERROR(__xludf.DUMMYFUNCTION("MEDIAN(FILTER('Cleaned data'!N:N, 'Cleaned data'!E:E=B34))"),297.5)</f>
        <v>297.5</v>
      </c>
      <c r="L34" s="8">
        <f>IFERROR(__xludf.DUMMYFUNCTION("MIN(FILTER('Cleaned data'!O:O, 'Cleaned data'!E:E=B34))"),601.0)</f>
        <v>601</v>
      </c>
      <c r="M34" s="8" t="str">
        <f>IFERROR(__xludf.DUMMYFUNCTION("INDEX(FILTER('Cleaned data'!B:B, ('Cleaned data'!E:E=B34)*'Cleaned data'!O:O=MIN(FILTER('Cleaned data'!O:O, 'Cleaned data'!E:E=B34))))"),"Coca-Cola Co")</f>
        <v>Coca-Cola Co</v>
      </c>
      <c r="N34" s="8">
        <f>IFERROR(__xludf.DUMMYFUNCTION("MAX(FILTER('Cleaned data'!O:O, 'Cleaned data'!E:E=B34))"),1417.0)</f>
        <v>1417</v>
      </c>
      <c r="O34" s="8" t="str">
        <f>IFERROR(__xludf.DUMMYFUNCTION("INDEX(FILTER('Cleaned data'!B:B, ('Cleaned data'!E:E=B34)*'Cleaned data'!O:O=MAX(FILTER('Cleaned data'!O:O, 'Cleaned data'!E:E=B34))))"),"PepsiCo Inc")</f>
        <v>PepsiCo Inc</v>
      </c>
      <c r="P34" s="11">
        <f>IFERROR(__xludf.DUMMYFUNCTION("MEDIAN(FILTER('Cleaned data'!O:O, 'Cleaned data'!E:E=B34))"),1113.0)</f>
        <v>1113</v>
      </c>
      <c r="Q34" s="11">
        <f t="shared" si="1"/>
        <v>816</v>
      </c>
    </row>
    <row r="35">
      <c r="A35" s="8">
        <f>COUNTIF('Cleaned data'!E:E, B35)</f>
        <v>4</v>
      </c>
      <c r="B35" s="8" t="s">
        <v>75</v>
      </c>
      <c r="C35" s="8">
        <f>IFERROR(__xludf.DUMMYFUNCTION("MIN(FILTER('Cleaned data'!L:L, 'Cleaned data'!E:E=B35))"),215.0)</f>
        <v>215</v>
      </c>
      <c r="D35" s="8">
        <f>IFERROR(__xludf.DUMMYFUNCTION("MAX(FILTER('Cleaned data'!L:L, 'Cleaned data'!E:E=B35))"),555.0)</f>
        <v>555</v>
      </c>
      <c r="E35" s="8">
        <f>IFERROR(__xludf.DUMMYFUNCTION("MEDIAN(FILTER('Cleaned data'!L:L, 'Cleaned data'!E:E=B35))"),401.0)</f>
        <v>401</v>
      </c>
      <c r="F35" s="8">
        <f>IFERROR(__xludf.DUMMYFUNCTION("MIN(FILTER('Cleaned data'!M:M, 'Cleaned data'!E:E=B35))"),160.0)</f>
        <v>160</v>
      </c>
      <c r="G35" s="8">
        <f>IFERROR(__xludf.DUMMYFUNCTION("MAX(FILTER('Cleaned data'!M:M, 'Cleaned data'!E:E=B35))"),303.0)</f>
        <v>303</v>
      </c>
      <c r="H35" s="8">
        <f>IFERROR(__xludf.DUMMYFUNCTION("MEDIAN(FILTER('Cleaned data'!M:M, 'Cleaned data'!E:E=B35))"),227.0)</f>
        <v>227</v>
      </c>
      <c r="I35" s="8">
        <f>IFERROR(__xludf.DUMMYFUNCTION("MIN(FILTER('Cleaned data'!N:N,'Cleaned data'!E:E=B35))"),200.0)</f>
        <v>200</v>
      </c>
      <c r="J35" s="8">
        <f>IFERROR(__xludf.DUMMYFUNCTION("MAX(FILTER('Cleaned data'!N:N,'Cleaned data'!E:E=B35))"),278.0)</f>
        <v>278</v>
      </c>
      <c r="K35" s="8">
        <f>IFERROR(__xludf.DUMMYFUNCTION("MEDIAN(FILTER('Cleaned data'!N:N, 'Cleaned data'!E:E=B35))"),235.0)</f>
        <v>235</v>
      </c>
      <c r="L35" s="8">
        <f>IFERROR(__xludf.DUMMYFUNCTION("MIN(FILTER('Cleaned data'!O:O, 'Cleaned data'!E:E=B35))"),623.0)</f>
        <v>623</v>
      </c>
      <c r="M35" s="8" t="str">
        <f>IFERROR(__xludf.DUMMYFUNCTION("INDEX(FILTER('Cleaned data'!B:B, ('Cleaned data'!E:E=B35)*'Cleaned data'!O:O=MIN(FILTER('Cleaned data'!O:O, 'Cleaned data'!E:E=B35))))"),"Xpeng Inc")</f>
        <v>Xpeng Inc</v>
      </c>
      <c r="N35" s="8">
        <f>IFERROR(__xludf.DUMMYFUNCTION("MAX(FILTER('Cleaned data'!O:O, 'Cleaned data'!E:E=B35))"),1068.0)</f>
        <v>1068</v>
      </c>
      <c r="O35" s="8" t="str">
        <f>IFERROR(__xludf.DUMMYFUNCTION("INDEX(FILTER('Cleaned data'!B:B, ('Cleaned data'!E:E=B35)*'Cleaned data'!O:O=MAX(FILTER('Cleaned data'!O:O, 'Cleaned data'!E:E=B35))))"),"General Motors Co")</f>
        <v>General Motors Co</v>
      </c>
      <c r="P35" s="11">
        <f>IFERROR(__xludf.DUMMYFUNCTION("MEDIAN(FILTER('Cleaned data'!O:O, 'Cleaned data'!E:E=B35))"),873.0)</f>
        <v>873</v>
      </c>
      <c r="Q35" s="11">
        <f t="shared" si="1"/>
        <v>445</v>
      </c>
    </row>
    <row r="36">
      <c r="A36" s="8">
        <f>COUNTIF('Cleaned data'!E:E, B36)</f>
        <v>4</v>
      </c>
      <c r="B36" s="8" t="s">
        <v>1016</v>
      </c>
      <c r="C36" s="8">
        <f>IFERROR(__xludf.DUMMYFUNCTION("MIN(FILTER('Cleaned data'!L:L, 'Cleaned data'!E:E=B36))"),500.0)</f>
        <v>500</v>
      </c>
      <c r="D36" s="8">
        <f>IFERROR(__xludf.DUMMYFUNCTION("MAX(FILTER('Cleaned data'!L:L, 'Cleaned data'!E:E=B36))"),555.0)</f>
        <v>555</v>
      </c>
      <c r="E36" s="8">
        <f>IFERROR(__xludf.DUMMYFUNCTION("MEDIAN(FILTER('Cleaned data'!L:L, 'Cleaned data'!E:E=B36))"),545.0)</f>
        <v>545</v>
      </c>
      <c r="F36" s="8">
        <f>IFERROR(__xludf.DUMMYFUNCTION("MIN(FILTER('Cleaned data'!M:M, 'Cleaned data'!E:E=B36))"),303.0)</f>
        <v>303</v>
      </c>
      <c r="G36" s="8">
        <f>IFERROR(__xludf.DUMMYFUNCTION("MAX(FILTER('Cleaned data'!M:M, 'Cleaned data'!E:E=B36))"),347.0)</f>
        <v>347</v>
      </c>
      <c r="H36" s="8">
        <f>IFERROR(__xludf.DUMMYFUNCTION("MEDIAN(FILTER('Cleaned data'!M:M, 'Cleaned data'!E:E=B36))"),321.0)</f>
        <v>321</v>
      </c>
      <c r="I36" s="8">
        <f>IFERROR(__xludf.DUMMYFUNCTION("MIN(FILTER('Cleaned data'!N:N,'Cleaned data'!E:E=B36))"),257.0)</f>
        <v>257</v>
      </c>
      <c r="J36" s="8">
        <f>IFERROR(__xludf.DUMMYFUNCTION("MAX(FILTER('Cleaned data'!N:N,'Cleaned data'!E:E=B36))"),325.0)</f>
        <v>325</v>
      </c>
      <c r="K36" s="8">
        <f>IFERROR(__xludf.DUMMYFUNCTION("MEDIAN(FILTER('Cleaned data'!N:N, 'Cleaned data'!E:E=B36))"),302.5)</f>
        <v>302.5</v>
      </c>
      <c r="L36" s="8">
        <f>IFERROR(__xludf.DUMMYFUNCTION("MIN(FILTER('Cleaned data'!O:O, 'Cleaned data'!E:E=B36))"),1103.0)</f>
        <v>1103</v>
      </c>
      <c r="M36" s="8" t="str">
        <f>IFERROR(__xludf.DUMMYFUNCTION("INDEX(FILTER('Cleaned data'!B:B, ('Cleaned data'!E:E=B36)*'Cleaned data'!O:O=MIN(FILTER('Cleaned data'!O:O, 'Cleaned data'!E:E=B36))))"),"Packaging Corp of America")</f>
        <v>Packaging Corp of America</v>
      </c>
      <c r="N36" s="8">
        <f>IFERROR(__xludf.DUMMYFUNCTION("MAX(FILTER('Cleaned data'!O:O, 'Cleaned data'!E:E=B36))"),1207.0)</f>
        <v>1207</v>
      </c>
      <c r="O36" s="8" t="str">
        <f>IFERROR(__xludf.DUMMYFUNCTION("INDEX(FILTER('Cleaned data'!B:B, ('Cleaned data'!E:E=B36)*'Cleaned data'!O:O=MAX(FILTER('Cleaned data'!O:O, 'Cleaned data'!E:E=B36))))"),"Avery Dennison Corp")</f>
        <v>Avery Dennison Corp</v>
      </c>
      <c r="P36" s="11">
        <f>IFERROR(__xludf.DUMMYFUNCTION("MEDIAN(FILTER('Cleaned data'!O:O, 'Cleaned data'!E:E=B36))"),1157.0)</f>
        <v>1157</v>
      </c>
      <c r="Q36" s="11">
        <f t="shared" si="1"/>
        <v>104</v>
      </c>
    </row>
    <row r="37">
      <c r="A37" s="8">
        <f>COUNTIF('Cleaned data'!E:E, B37)</f>
        <v>3</v>
      </c>
      <c r="B37" s="8" t="s">
        <v>68</v>
      </c>
      <c r="C37" s="8">
        <f>IFERROR(__xludf.DUMMYFUNCTION("MIN(FILTER('Cleaned data'!L:L, 'Cleaned data'!E:E=B37))"),200.0)</f>
        <v>200</v>
      </c>
      <c r="D37" s="8">
        <f>IFERROR(__xludf.DUMMYFUNCTION("MAX(FILTER('Cleaned data'!L:L, 'Cleaned data'!E:E=B37))"),555.0)</f>
        <v>555</v>
      </c>
      <c r="E37" s="8">
        <f>IFERROR(__xludf.DUMMYFUNCTION("MEDIAN(FILTER('Cleaned data'!L:L, 'Cleaned data'!E:E=B37))"),260.0)</f>
        <v>260</v>
      </c>
      <c r="F37" s="8">
        <f>IFERROR(__xludf.DUMMYFUNCTION("MIN(FILTER('Cleaned data'!M:M, 'Cleaned data'!E:E=B37))"),200.0)</f>
        <v>200</v>
      </c>
      <c r="G37" s="8">
        <f>IFERROR(__xludf.DUMMYFUNCTION("MAX(FILTER('Cleaned data'!M:M, 'Cleaned data'!E:E=B37))"),339.0)</f>
        <v>339</v>
      </c>
      <c r="H37" s="8">
        <f>IFERROR(__xludf.DUMMYFUNCTION("MEDIAN(FILTER('Cleaned data'!M:M, 'Cleaned data'!E:E=B37))"),206.0)</f>
        <v>206</v>
      </c>
      <c r="I37" s="8">
        <f>IFERROR(__xludf.DUMMYFUNCTION("MIN(FILTER('Cleaned data'!N:N,'Cleaned data'!E:E=B37))"),200.0)</f>
        <v>200</v>
      </c>
      <c r="J37" s="8">
        <f>IFERROR(__xludf.DUMMYFUNCTION("MAX(FILTER('Cleaned data'!N:N,'Cleaned data'!E:E=B37))"),310.0)</f>
        <v>310</v>
      </c>
      <c r="K37" s="8">
        <f>IFERROR(__xludf.DUMMYFUNCTION("MEDIAN(FILTER('Cleaned data'!N:N, 'Cleaned data'!E:E=B37))"),230.0)</f>
        <v>230</v>
      </c>
      <c r="L37" s="8">
        <f>IFERROR(__xludf.DUMMYFUNCTION("MIN(FILTER('Cleaned data'!O:O, 'Cleaned data'!E:E=B37))"),600.0)</f>
        <v>600</v>
      </c>
      <c r="M37" s="8" t="str">
        <f>IFERROR(__xludf.DUMMYFUNCTION("INDEX(FILTER('Cleaned data'!B:B, ('Cleaned data'!E:E=B37)*'Cleaned data'!O:O=MIN(FILTER('Cleaned data'!O:O, 'Cleaned data'!E:E=B37))))"),"XL Fleet Corp")</f>
        <v>XL Fleet Corp</v>
      </c>
      <c r="N37" s="8">
        <f>IFERROR(__xludf.DUMMYFUNCTION("MAX(FILTER('Cleaned data'!O:O, 'Cleaned data'!E:E=B37))"),1204.0)</f>
        <v>1204</v>
      </c>
      <c r="O37" s="8" t="str">
        <f>IFERROR(__xludf.DUMMYFUNCTION("INDEX(FILTER('Cleaned data'!B:B, ('Cleaned data'!E:E=B37)*'Cleaned data'!O:O=MAX(FILTER('Cleaned data'!O:O, 'Cleaned data'!E:E=B37))))"),"Aptiv PLC")</f>
        <v>Aptiv PLC</v>
      </c>
      <c r="P37" s="11">
        <f>IFERROR(__xludf.DUMMYFUNCTION("MEDIAN(FILTER('Cleaned data'!O:O, 'Cleaned data'!E:E=B37))"),696.0)</f>
        <v>696</v>
      </c>
      <c r="Q37" s="11">
        <f t="shared" si="1"/>
        <v>604</v>
      </c>
    </row>
    <row r="38">
      <c r="A38" s="8">
        <f>COUNTIF('Cleaned data'!E:E, B38)</f>
        <v>3</v>
      </c>
      <c r="B38" s="8" t="s">
        <v>1398</v>
      </c>
      <c r="C38" s="8">
        <f>IFERROR(__xludf.DUMMYFUNCTION("MIN(FILTER('Cleaned data'!L:L, 'Cleaned data'!E:E=B38))"),210.0)</f>
        <v>210</v>
      </c>
      <c r="D38" s="8">
        <f>IFERROR(__xludf.DUMMYFUNCTION("MAX(FILTER('Cleaned data'!L:L, 'Cleaned data'!E:E=B38))"),535.0)</f>
        <v>535</v>
      </c>
      <c r="E38" s="8">
        <f>IFERROR(__xludf.DUMMYFUNCTION("MEDIAN(FILTER('Cleaned data'!L:L, 'Cleaned data'!E:E=B38))"),342.0)</f>
        <v>342</v>
      </c>
      <c r="F38" s="8">
        <f>IFERROR(__xludf.DUMMYFUNCTION("MIN(FILTER('Cleaned data'!M:M, 'Cleaned data'!E:E=B38))"),200.0)</f>
        <v>200</v>
      </c>
      <c r="G38" s="8">
        <f>IFERROR(__xludf.DUMMYFUNCTION("MAX(FILTER('Cleaned data'!M:M, 'Cleaned data'!E:E=B38))"),331.0)</f>
        <v>331</v>
      </c>
      <c r="H38" s="8">
        <f>IFERROR(__xludf.DUMMYFUNCTION("MEDIAN(FILTER('Cleaned data'!M:M, 'Cleaned data'!E:E=B38))"),327.0)</f>
        <v>327</v>
      </c>
      <c r="I38" s="8">
        <f>IFERROR(__xludf.DUMMYFUNCTION("MIN(FILTER('Cleaned data'!N:N,'Cleaned data'!E:E=B38))"),230.0)</f>
        <v>230</v>
      </c>
      <c r="J38" s="8">
        <f>IFERROR(__xludf.DUMMYFUNCTION("MAX(FILTER('Cleaned data'!N:N,'Cleaned data'!E:E=B38))"),305.0)</f>
        <v>305</v>
      </c>
      <c r="K38" s="8">
        <f>IFERROR(__xludf.DUMMYFUNCTION("MEDIAN(FILTER('Cleaned data'!N:N, 'Cleaned data'!E:E=B38))"),305.0)</f>
        <v>305</v>
      </c>
      <c r="L38" s="8">
        <f>IFERROR(__xludf.DUMMYFUNCTION("MIN(FILTER('Cleaned data'!O:O, 'Cleaned data'!E:E=B38))"),715.0)</f>
        <v>715</v>
      </c>
      <c r="M38" s="8" t="str">
        <f>IFERROR(__xludf.DUMMYFUNCTION("INDEX(FILTER('Cleaned data'!B:B, ('Cleaned data'!E:E=B38)*'Cleaned data'!O:O=MIN(FILTER('Cleaned data'!O:O, 'Cleaned data'!E:E=B38))))"),"AT&amp;T Inc")</f>
        <v>AT&amp;T Inc</v>
      </c>
      <c r="N38" s="8">
        <f>IFERROR(__xludf.DUMMYFUNCTION("MAX(FILTER('Cleaned data'!O:O, 'Cleaned data'!E:E=B38))"),1167.0)</f>
        <v>1167</v>
      </c>
      <c r="O38" s="8" t="str">
        <f>IFERROR(__xludf.DUMMYFUNCTION("INDEX(FILTER('Cleaned data'!B:B, ('Cleaned data'!E:E=B38)*'Cleaned data'!O:O=MAX(FILTER('Cleaned data'!O:O, 'Cleaned data'!E:E=B38))))"),"Lumen Technologies Inc")</f>
        <v>Lumen Technologies Inc</v>
      </c>
      <c r="P38" s="11">
        <f>IFERROR(__xludf.DUMMYFUNCTION("MEDIAN(FILTER('Cleaned data'!O:O, 'Cleaned data'!E:E=B38))"),903.0)</f>
        <v>903</v>
      </c>
      <c r="Q38" s="11">
        <f t="shared" si="1"/>
        <v>452</v>
      </c>
    </row>
    <row r="39">
      <c r="A39" s="8">
        <f>COUNTIF('Cleaned data'!E:E, B39)</f>
        <v>3</v>
      </c>
      <c r="B39" s="8" t="s">
        <v>941</v>
      </c>
      <c r="C39" s="8">
        <f>IFERROR(__xludf.DUMMYFUNCTION("MIN(FILTER('Cleaned data'!L:L, 'Cleaned data'!E:E=B39))"),242.0)</f>
        <v>242</v>
      </c>
      <c r="D39" s="8">
        <f>IFERROR(__xludf.DUMMYFUNCTION("MAX(FILTER('Cleaned data'!L:L, 'Cleaned data'!E:E=B39))"),345.0)</f>
        <v>345</v>
      </c>
      <c r="E39" s="8">
        <f>IFERROR(__xludf.DUMMYFUNCTION("MEDIAN(FILTER('Cleaned data'!L:L, 'Cleaned data'!E:E=B39))"),329.0)</f>
        <v>329</v>
      </c>
      <c r="F39" s="8">
        <f>IFERROR(__xludf.DUMMYFUNCTION("MIN(FILTER('Cleaned data'!M:M, 'Cleaned data'!E:E=B39))"),204.0)</f>
        <v>204</v>
      </c>
      <c r="G39" s="8">
        <f>IFERROR(__xludf.DUMMYFUNCTION("MAX(FILTER('Cleaned data'!M:M, 'Cleaned data'!E:E=B39))"),351.0)</f>
        <v>351</v>
      </c>
      <c r="H39" s="8">
        <f>IFERROR(__xludf.DUMMYFUNCTION("MEDIAN(FILTER('Cleaned data'!M:M, 'Cleaned data'!E:E=B39))"),300.0)</f>
        <v>300</v>
      </c>
      <c r="I39" s="8">
        <f>IFERROR(__xludf.DUMMYFUNCTION("MIN(FILTER('Cleaned data'!N:N,'Cleaned data'!E:E=B39))"),200.0)</f>
        <v>200</v>
      </c>
      <c r="J39" s="8">
        <f>IFERROR(__xludf.DUMMYFUNCTION("MAX(FILTER('Cleaned data'!N:N,'Cleaned data'!E:E=B39))"),320.0)</f>
        <v>320</v>
      </c>
      <c r="K39" s="8">
        <f>IFERROR(__xludf.DUMMYFUNCTION("MEDIAN(FILTER('Cleaned data'!N:N, 'Cleaned data'!E:E=B39))"),305.0)</f>
        <v>305</v>
      </c>
      <c r="L39" s="8">
        <f>IFERROR(__xludf.DUMMYFUNCTION("MIN(FILTER('Cleaned data'!O:O, 'Cleaned data'!E:E=B39))"),646.0)</f>
        <v>646</v>
      </c>
      <c r="M39" s="8" t="str">
        <f>IFERROR(__xludf.DUMMYFUNCTION("INDEX(FILTER('Cleaned data'!B:B, ('Cleaned data'!E:E=B39)*'Cleaned data'!O:O=MIN(FILTER('Cleaned data'!O:O, 'Cleaned data'!E:E=B39))))"),"Costamare Inc")</f>
        <v>Costamare Inc</v>
      </c>
      <c r="N39" s="8">
        <f>IFERROR(__xludf.DUMMYFUNCTION("MAX(FILTER('Cleaned data'!O:O, 'Cleaned data'!E:E=B39))"),1000.0)</f>
        <v>1000</v>
      </c>
      <c r="O39" s="8" t="str">
        <f>IFERROR(__xludf.DUMMYFUNCTION("INDEX(FILTER('Cleaned data'!B:B, ('Cleaned data'!E:E=B39)*'Cleaned data'!O:O=MAX(FILTER('Cleaned data'!O:O, 'Cleaned data'!E:E=B39))))"),"ZIM Integrated Shipping Services Ltd")</f>
        <v>ZIM Integrated Shipping Services Ltd</v>
      </c>
      <c r="P39" s="11">
        <f>IFERROR(__xludf.DUMMYFUNCTION("MEDIAN(FILTER('Cleaned data'!O:O, 'Cleaned data'!E:E=B39))"),950.0)</f>
        <v>950</v>
      </c>
      <c r="Q39" s="11">
        <f t="shared" si="1"/>
        <v>354</v>
      </c>
    </row>
    <row r="40">
      <c r="A40" s="8">
        <f>COUNTIF('Cleaned data'!E:E, B40)</f>
        <v>3</v>
      </c>
      <c r="B40" s="8" t="s">
        <v>427</v>
      </c>
      <c r="C40" s="8">
        <f>IFERROR(__xludf.DUMMYFUNCTION("MIN(FILTER('Cleaned data'!L:L, 'Cleaned data'!E:E=B40))"),203.0)</f>
        <v>203</v>
      </c>
      <c r="D40" s="8">
        <f>IFERROR(__xludf.DUMMYFUNCTION("MAX(FILTER('Cleaned data'!L:L, 'Cleaned data'!E:E=B40))"),365.0)</f>
        <v>365</v>
      </c>
      <c r="E40" s="8">
        <f>IFERROR(__xludf.DUMMYFUNCTION("MEDIAN(FILTER('Cleaned data'!L:L, 'Cleaned data'!E:E=B40))"),290.0)</f>
        <v>290</v>
      </c>
      <c r="F40" s="8">
        <f>IFERROR(__xludf.DUMMYFUNCTION("MIN(FILTER('Cleaned data'!M:M, 'Cleaned data'!E:E=B40))"),200.0)</f>
        <v>200</v>
      </c>
      <c r="G40" s="8">
        <f>IFERROR(__xludf.DUMMYFUNCTION("MAX(FILTER('Cleaned data'!M:M, 'Cleaned data'!E:E=B40))"),297.0)</f>
        <v>297</v>
      </c>
      <c r="H40" s="8">
        <f>IFERROR(__xludf.DUMMYFUNCTION("MEDIAN(FILTER('Cleaned data'!M:M, 'Cleaned data'!E:E=B40))"),203.0)</f>
        <v>203</v>
      </c>
      <c r="I40" s="8">
        <f>IFERROR(__xludf.DUMMYFUNCTION("MIN(FILTER('Cleaned data'!N:N,'Cleaned data'!E:E=B40))"),205.0)</f>
        <v>205</v>
      </c>
      <c r="J40" s="8">
        <f>IFERROR(__xludf.DUMMYFUNCTION("MAX(FILTER('Cleaned data'!N:N,'Cleaned data'!E:E=B40))"),250.0)</f>
        <v>250</v>
      </c>
      <c r="K40" s="8">
        <f>IFERROR(__xludf.DUMMYFUNCTION("MEDIAN(FILTER('Cleaned data'!N:N, 'Cleaned data'!E:E=B40))"),205.0)</f>
        <v>205</v>
      </c>
      <c r="L40" s="8">
        <f>IFERROR(__xludf.DUMMYFUNCTION("MIN(FILTER('Cleaned data'!O:O, 'Cleaned data'!E:E=B40))"),608.0)</f>
        <v>608</v>
      </c>
      <c r="M40" s="8" t="str">
        <f>IFERROR(__xludf.DUMMYFUNCTION("INDEX(FILTER('Cleaned data'!B:B, ('Cleaned data'!E:E=B40)*'Cleaned data'!O:O=MIN(FILTER('Cleaned data'!O:O, 'Cleaned data'!E:E=B40))))"),"ATA Creativity Global")</f>
        <v>ATA Creativity Global</v>
      </c>
      <c r="N40" s="8">
        <f>IFERROR(__xludf.DUMMYFUNCTION("MAX(FILTER('Cleaned data'!O:O, 'Cleaned data'!E:E=B40))"),912.0)</f>
        <v>912</v>
      </c>
      <c r="O40" s="8" t="str">
        <f>IFERROR(__xludf.DUMMYFUNCTION("INDEX(FILTER('Cleaned data'!B:B, ('Cleaned data'!E:E=B40)*'Cleaned data'!O:O=MAX(FILTER('Cleaned data'!O:O, 'Cleaned data'!E:E=B40))))"),"Perdoceo Education Corp")</f>
        <v>Perdoceo Education Corp</v>
      </c>
      <c r="P40" s="11">
        <f>IFERROR(__xludf.DUMMYFUNCTION("MEDIAN(FILTER('Cleaned data'!O:O, 'Cleaned data'!E:E=B40))"),698.0)</f>
        <v>698</v>
      </c>
      <c r="Q40" s="11">
        <f t="shared" si="1"/>
        <v>304</v>
      </c>
    </row>
    <row r="41">
      <c r="A41" s="8">
        <f>COUNTIF('Cleaned data'!E:E, B41)</f>
        <v>3</v>
      </c>
      <c r="B41" s="8" t="s">
        <v>845</v>
      </c>
      <c r="C41" s="8">
        <f>IFERROR(__xludf.DUMMYFUNCTION("MIN(FILTER('Cleaned data'!L:L, 'Cleaned data'!E:E=B41))"),233.0)</f>
        <v>233</v>
      </c>
      <c r="D41" s="8">
        <f>IFERROR(__xludf.DUMMYFUNCTION("MAX(FILTER('Cleaned data'!L:L, 'Cleaned data'!E:E=B41))"),269.0)</f>
        <v>269</v>
      </c>
      <c r="E41" s="8">
        <f>IFERROR(__xludf.DUMMYFUNCTION("MEDIAN(FILTER('Cleaned data'!L:L, 'Cleaned data'!E:E=B41))"),255.0)</f>
        <v>255</v>
      </c>
      <c r="F41" s="8">
        <f>IFERROR(__xludf.DUMMYFUNCTION("MIN(FILTER('Cleaned data'!M:M, 'Cleaned data'!E:E=B41))"),224.0)</f>
        <v>224</v>
      </c>
      <c r="G41" s="8">
        <f>IFERROR(__xludf.DUMMYFUNCTION("MAX(FILTER('Cleaned data'!M:M, 'Cleaned data'!E:E=B41))"),301.0)</f>
        <v>301</v>
      </c>
      <c r="H41" s="8">
        <f>IFERROR(__xludf.DUMMYFUNCTION("MEDIAN(FILTER('Cleaned data'!M:M, 'Cleaned data'!E:E=B41))"),253.0)</f>
        <v>253</v>
      </c>
      <c r="I41" s="8">
        <f>IFERROR(__xludf.DUMMYFUNCTION("MIN(FILTER('Cleaned data'!N:N,'Cleaned data'!E:E=B41))"),200.0)</f>
        <v>200</v>
      </c>
      <c r="J41" s="8">
        <f>IFERROR(__xludf.DUMMYFUNCTION("MAX(FILTER('Cleaned data'!N:N,'Cleaned data'!E:E=B41))"),305.0)</f>
        <v>305</v>
      </c>
      <c r="K41" s="8">
        <f>IFERROR(__xludf.DUMMYFUNCTION("MEDIAN(FILTER('Cleaned data'!N:N, 'Cleaned data'!E:E=B41))"),300.0)</f>
        <v>300</v>
      </c>
      <c r="L41" s="8">
        <f>IFERROR(__xludf.DUMMYFUNCTION("MIN(FILTER('Cleaned data'!O:O, 'Cleaned data'!E:E=B41))"),657.0)</f>
        <v>657</v>
      </c>
      <c r="M41" s="8" t="str">
        <f>IFERROR(__xludf.DUMMYFUNCTION("INDEX(FILTER('Cleaned data'!B:B, ('Cleaned data'!E:E=B41)*'Cleaned data'!O:O=MIN(FILTER('Cleaned data'!O:O, 'Cleaned data'!E:E=B41))))"),"Ammo Inc")</f>
        <v>Ammo Inc</v>
      </c>
      <c r="N41" s="8">
        <f>IFERROR(__xludf.DUMMYFUNCTION("MAX(FILTER('Cleaned data'!O:O, 'Cleaned data'!E:E=B41))"),856.0)</f>
        <v>856</v>
      </c>
      <c r="O41" s="8" t="str">
        <f>IFERROR(__xludf.DUMMYFUNCTION("INDEX(FILTER('Cleaned data'!B:B, ('Cleaned data'!E:E=B41)*'Cleaned data'!O:O=MAX(FILTER('Cleaned data'!O:O, 'Cleaned data'!E:E=B41))))"),"Hasbro Inc")</f>
        <v>Hasbro Inc</v>
      </c>
      <c r="P41" s="11">
        <f>IFERROR(__xludf.DUMMYFUNCTION("MEDIAN(FILTER('Cleaned data'!O:O, 'Cleaned data'!E:E=B41))"),827.0)</f>
        <v>827</v>
      </c>
      <c r="Q41" s="11">
        <f t="shared" si="1"/>
        <v>199</v>
      </c>
    </row>
    <row r="42">
      <c r="A42" s="8">
        <f>COUNTIF('Cleaned data'!E:E, B42)</f>
        <v>3</v>
      </c>
      <c r="B42" s="8" t="s">
        <v>420</v>
      </c>
      <c r="C42" s="8">
        <f>IFERROR(__xludf.DUMMYFUNCTION("MIN(FILTER('Cleaned data'!L:L, 'Cleaned data'!E:E=B42))"),515.0)</f>
        <v>515</v>
      </c>
      <c r="D42" s="8">
        <f>IFERROR(__xludf.DUMMYFUNCTION("MAX(FILTER('Cleaned data'!L:L, 'Cleaned data'!E:E=B42))"),535.0)</f>
        <v>535</v>
      </c>
      <c r="E42" s="8">
        <f>IFERROR(__xludf.DUMMYFUNCTION("MEDIAN(FILTER('Cleaned data'!L:L, 'Cleaned data'!E:E=B42))"),525.0)</f>
        <v>525</v>
      </c>
      <c r="F42" s="8">
        <f>IFERROR(__xludf.DUMMYFUNCTION("MIN(FILTER('Cleaned data'!M:M, 'Cleaned data'!E:E=B42))"),225.0)</f>
        <v>225</v>
      </c>
      <c r="G42" s="8">
        <f>IFERROR(__xludf.DUMMYFUNCTION("MAX(FILTER('Cleaned data'!M:M, 'Cleaned data'!E:E=B42))"),306.0)</f>
        <v>306</v>
      </c>
      <c r="H42" s="8">
        <f>IFERROR(__xludf.DUMMYFUNCTION("MEDIAN(FILTER('Cleaned data'!M:M, 'Cleaned data'!E:E=B42))"),300.0)</f>
        <v>300</v>
      </c>
      <c r="I42" s="8">
        <f>IFERROR(__xludf.DUMMYFUNCTION("MIN(FILTER('Cleaned data'!N:N,'Cleaned data'!E:E=B42))"),305.0)</f>
        <v>305</v>
      </c>
      <c r="J42" s="8">
        <f>IFERROR(__xludf.DUMMYFUNCTION("MAX(FILTER('Cleaned data'!N:N,'Cleaned data'!E:E=B42))"),313.0)</f>
        <v>313</v>
      </c>
      <c r="K42" s="8">
        <f>IFERROR(__xludf.DUMMYFUNCTION("MEDIAN(FILTER('Cleaned data'!N:N, 'Cleaned data'!E:E=B42))"),305.0)</f>
        <v>305</v>
      </c>
      <c r="L42" s="8">
        <f>IFERROR(__xludf.DUMMYFUNCTION("MIN(FILTER('Cleaned data'!O:O, 'Cleaned data'!E:E=B42))"),1065.0)</f>
        <v>1065</v>
      </c>
      <c r="M42" s="8" t="str">
        <f>IFERROR(__xludf.DUMMYFUNCTION("INDEX(FILTER('Cleaned data'!B:B, ('Cleaned data'!E:E=B42)*'Cleaned data'!O:O=MIN(FILTER('Cleaned data'!O:O, 'Cleaned data'!E:E=B42))))"),"Genuine Parts Co")</f>
        <v>Genuine Parts Co</v>
      </c>
      <c r="N42" s="8">
        <f>IFERROR(__xludf.DUMMYFUNCTION("MAX(FILTER('Cleaned data'!O:O, 'Cleaned data'!E:E=B42))"),1144.0)</f>
        <v>1144</v>
      </c>
      <c r="O42" s="8" t="str">
        <f>IFERROR(__xludf.DUMMYFUNCTION("INDEX(FILTER('Cleaned data'!B:B, ('Cleaned data'!E:E=B42)*'Cleaned data'!O:O=MAX(FILTER('Cleaned data'!O:O, 'Cleaned data'!E:E=B42))))"),"Pool Corp")</f>
        <v>Pool Corp</v>
      </c>
      <c r="P42" s="11">
        <f>IFERROR(__xludf.DUMMYFUNCTION("MEDIAN(FILTER('Cleaned data'!O:O, 'Cleaned data'!E:E=B42))"),1120.0)</f>
        <v>1120</v>
      </c>
      <c r="Q42" s="11">
        <f t="shared" si="1"/>
        <v>79</v>
      </c>
    </row>
    <row r="43">
      <c r="A43" s="8">
        <f>COUNTIF('Cleaned data'!E:E, B43)</f>
        <v>3</v>
      </c>
      <c r="B43" s="8" t="s">
        <v>783</v>
      </c>
      <c r="C43" s="8">
        <f>IFERROR(__xludf.DUMMYFUNCTION("MIN(FILTER('Cleaned data'!L:L, 'Cleaned data'!E:E=B43))"),526.0)</f>
        <v>526</v>
      </c>
      <c r="D43" s="8">
        <f>IFERROR(__xludf.DUMMYFUNCTION("MAX(FILTER('Cleaned data'!L:L, 'Cleaned data'!E:E=B43))"),545.0)</f>
        <v>545</v>
      </c>
      <c r="E43" s="8">
        <f>IFERROR(__xludf.DUMMYFUNCTION("MEDIAN(FILTER('Cleaned data'!L:L, 'Cleaned data'!E:E=B43))"),533.0)</f>
        <v>533</v>
      </c>
      <c r="F43" s="8">
        <f>IFERROR(__xludf.DUMMYFUNCTION("MIN(FILTER('Cleaned data'!M:M, 'Cleaned data'!E:E=B43))"),300.0)</f>
        <v>300</v>
      </c>
      <c r="G43" s="8">
        <f>IFERROR(__xludf.DUMMYFUNCTION("MAX(FILTER('Cleaned data'!M:M, 'Cleaned data'!E:E=B43))"),344.0)</f>
        <v>344</v>
      </c>
      <c r="H43" s="8">
        <f>IFERROR(__xludf.DUMMYFUNCTION("MEDIAN(FILTER('Cleaned data'!M:M, 'Cleaned data'!E:E=B43))"),310.0)</f>
        <v>310</v>
      </c>
      <c r="I43" s="8">
        <f>IFERROR(__xludf.DUMMYFUNCTION("MIN(FILTER('Cleaned data'!N:N,'Cleaned data'!E:E=B43))"),300.0)</f>
        <v>300</v>
      </c>
      <c r="J43" s="8">
        <f>IFERROR(__xludf.DUMMYFUNCTION("MAX(FILTER('Cleaned data'!N:N,'Cleaned data'!E:E=B43))"),308.0)</f>
        <v>308</v>
      </c>
      <c r="K43" s="8">
        <f>IFERROR(__xludf.DUMMYFUNCTION("MEDIAN(FILTER('Cleaned data'!N:N, 'Cleaned data'!E:E=B43))"),305.0)</f>
        <v>305</v>
      </c>
      <c r="L43" s="8">
        <f>IFERROR(__xludf.DUMMYFUNCTION("MIN(FILTER('Cleaned data'!O:O, 'Cleaned data'!E:E=B43))"),1133.0)</f>
        <v>1133</v>
      </c>
      <c r="M43" s="8" t="str">
        <f>IFERROR(__xludf.DUMMYFUNCTION("INDEX(FILTER('Cleaned data'!B:B, ('Cleaned data'!E:E=B43)*'Cleaned data'!O:O=MIN(FILTER('Cleaned data'!O:O, 'Cleaned data'!E:E=B43))))"),"General Electric Co")</f>
        <v>General Electric Co</v>
      </c>
      <c r="N43" s="8">
        <f>IFERROR(__xludf.DUMMYFUNCTION("MAX(FILTER('Cleaned data'!O:O, 'Cleaned data'!E:E=B43))"),1197.0)</f>
        <v>1197</v>
      </c>
      <c r="O43" s="8" t="str">
        <f>IFERROR(__xludf.DUMMYFUNCTION("INDEX(FILTER('Cleaned data'!B:B, ('Cleaned data'!E:E=B43)*'Cleaned data'!O:O=MAX(FILTER('Cleaned data'!O:O, 'Cleaned data'!E:E=B43))))"),"Honeywell International Inc")</f>
        <v>Honeywell International Inc</v>
      </c>
      <c r="P43" s="11">
        <f>IFERROR(__xludf.DUMMYFUNCTION("MEDIAN(FILTER('Cleaned data'!O:O, 'Cleaned data'!E:E=B43))"),1141.0)</f>
        <v>1141</v>
      </c>
      <c r="Q43" s="11">
        <f t="shared" si="1"/>
        <v>64</v>
      </c>
    </row>
    <row r="44">
      <c r="A44" s="8">
        <f>COUNTIF('Cleaned data'!E:E, B44)</f>
        <v>2</v>
      </c>
      <c r="B44" s="8" t="s">
        <v>1424</v>
      </c>
      <c r="C44" s="8">
        <f>IFERROR(__xludf.DUMMYFUNCTION("MIN(FILTER('Cleaned data'!L:L, 'Cleaned data'!E:E=B44))"),500.0)</f>
        <v>500</v>
      </c>
      <c r="D44" s="8">
        <f>IFERROR(__xludf.DUMMYFUNCTION("MAX(FILTER('Cleaned data'!L:L, 'Cleaned data'!E:E=B44))"),520.0)</f>
        <v>520</v>
      </c>
      <c r="E44" s="8">
        <f>IFERROR(__xludf.DUMMYFUNCTION("MEDIAN(FILTER('Cleaned data'!L:L, 'Cleaned data'!E:E=B44))"),510.0)</f>
        <v>510</v>
      </c>
      <c r="F44" s="8">
        <f>IFERROR(__xludf.DUMMYFUNCTION("MIN(FILTER('Cleaned data'!M:M, 'Cleaned data'!E:E=B44))"),327.0)</f>
        <v>327</v>
      </c>
      <c r="G44" s="8">
        <f>IFERROR(__xludf.DUMMYFUNCTION("MAX(FILTER('Cleaned data'!M:M, 'Cleaned data'!E:E=B44))"),327.0)</f>
        <v>327</v>
      </c>
      <c r="H44" s="8">
        <f>IFERROR(__xludf.DUMMYFUNCTION("MEDIAN(FILTER('Cleaned data'!M:M, 'Cleaned data'!E:E=B44))"),327.0)</f>
        <v>327</v>
      </c>
      <c r="I44" s="8">
        <f>IFERROR(__xludf.DUMMYFUNCTION("MIN(FILTER('Cleaned data'!N:N,'Cleaned data'!E:E=B44))"),315.0)</f>
        <v>315</v>
      </c>
      <c r="J44" s="8">
        <f>IFERROR(__xludf.DUMMYFUNCTION("MAX(FILTER('Cleaned data'!N:N,'Cleaned data'!E:E=B44))"),341.0)</f>
        <v>341</v>
      </c>
      <c r="K44" s="8">
        <f>IFERROR(__xludf.DUMMYFUNCTION("MEDIAN(FILTER('Cleaned data'!N:N, 'Cleaned data'!E:E=B44))"),328.0)</f>
        <v>328</v>
      </c>
      <c r="L44" s="8">
        <f>IFERROR(__xludf.DUMMYFUNCTION("MIN(FILTER('Cleaned data'!O:O, 'Cleaned data'!E:E=B44))"),1162.0)</f>
        <v>1162</v>
      </c>
      <c r="M44" s="8" t="str">
        <f>IFERROR(__xludf.DUMMYFUNCTION("INDEX(FILTER('Cleaned data'!B:B, ('Cleaned data'!E:E=B44)*'Cleaned data'!O:O=MIN(FILTER('Cleaned data'!O:O, 'Cleaned data'!E:E=B44))))"),"Philip Morris International Inc")</f>
        <v>Philip Morris International Inc</v>
      </c>
      <c r="N44" s="8">
        <f>IFERROR(__xludf.DUMMYFUNCTION("MAX(FILTER('Cleaned data'!O:O, 'Cleaned data'!E:E=B44))"),1168.0)</f>
        <v>1168</v>
      </c>
      <c r="O44" s="8" t="str">
        <f>IFERROR(__xludf.DUMMYFUNCTION("INDEX(FILTER('Cleaned data'!B:B, ('Cleaned data'!E:E=B44)*'Cleaned data'!O:O=MAX(FILTER('Cleaned data'!O:O, 'Cleaned data'!E:E=B44))))"),"Altria Group Inc")</f>
        <v>Altria Group Inc</v>
      </c>
      <c r="P44" s="11">
        <f>IFERROR(__xludf.DUMMYFUNCTION("MEDIAN(FILTER('Cleaned data'!O:O, 'Cleaned data'!E:E=B44))"),1165.0)</f>
        <v>1165</v>
      </c>
      <c r="Q44" s="11">
        <f t="shared" si="1"/>
        <v>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13"/>
    <col customWidth="1" min="2" max="2" width="14.38"/>
    <col customWidth="1" min="3" max="3" width="16.75"/>
    <col customWidth="1" min="4" max="4" width="15.88"/>
    <col customWidth="1" min="5" max="5" width="18.8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8" t="s">
        <v>1500</v>
      </c>
      <c r="B1" s="8" t="s">
        <v>4</v>
      </c>
      <c r="C1" s="8" t="s">
        <v>1510</v>
      </c>
      <c r="D1" s="8" t="s">
        <v>1511</v>
      </c>
      <c r="E1" s="8" t="s">
        <v>1512</v>
      </c>
      <c r="F1" s="8" t="s">
        <v>1513</v>
      </c>
      <c r="G1" s="10" t="s">
        <v>1514</v>
      </c>
      <c r="H1" s="10" t="s">
        <v>1515</v>
      </c>
    </row>
    <row r="2">
      <c r="A2" s="8">
        <v>3.0</v>
      </c>
      <c r="B2" s="8" t="s">
        <v>845</v>
      </c>
      <c r="C2" s="8">
        <v>657.0</v>
      </c>
      <c r="D2" s="8" t="s">
        <v>849</v>
      </c>
      <c r="E2" s="8">
        <v>856.0</v>
      </c>
      <c r="F2" s="8" t="s">
        <v>844</v>
      </c>
      <c r="G2" s="11">
        <v>827.0</v>
      </c>
      <c r="H2" s="11">
        <v>199.0</v>
      </c>
    </row>
    <row r="3">
      <c r="A3" s="8">
        <v>3.0</v>
      </c>
      <c r="B3" s="8" t="s">
        <v>427</v>
      </c>
      <c r="C3" s="8">
        <v>608.0</v>
      </c>
      <c r="D3" s="8" t="s">
        <v>432</v>
      </c>
      <c r="E3" s="8">
        <v>912.0</v>
      </c>
      <c r="F3" s="8" t="s">
        <v>426</v>
      </c>
      <c r="G3" s="11">
        <v>698.0</v>
      </c>
      <c r="H3" s="11">
        <v>304.0</v>
      </c>
    </row>
    <row r="4">
      <c r="A4" s="8">
        <v>3.0</v>
      </c>
      <c r="B4" s="8" t="s">
        <v>941</v>
      </c>
      <c r="C4" s="8">
        <v>646.0</v>
      </c>
      <c r="D4" s="8" t="s">
        <v>945</v>
      </c>
      <c r="E4" s="8">
        <v>1000.0</v>
      </c>
      <c r="F4" s="8" t="s">
        <v>940</v>
      </c>
      <c r="G4" s="11">
        <v>950.0</v>
      </c>
      <c r="H4" s="11">
        <v>354.0</v>
      </c>
    </row>
    <row r="5">
      <c r="A5" s="8">
        <v>4.0</v>
      </c>
      <c r="B5" s="8" t="s">
        <v>75</v>
      </c>
      <c r="C5" s="8">
        <v>623.0</v>
      </c>
      <c r="D5" s="8" t="s">
        <v>83</v>
      </c>
      <c r="E5" s="8">
        <v>1068.0</v>
      </c>
      <c r="F5" s="8" t="s">
        <v>74</v>
      </c>
      <c r="G5" s="11">
        <v>873.0</v>
      </c>
      <c r="H5" s="11">
        <v>445.0</v>
      </c>
    </row>
    <row r="6">
      <c r="A6" s="8">
        <v>5.0</v>
      </c>
      <c r="B6" s="8" t="s">
        <v>1429</v>
      </c>
      <c r="C6" s="8">
        <v>641.0</v>
      </c>
      <c r="D6" s="8" t="s">
        <v>1437</v>
      </c>
      <c r="E6" s="8">
        <v>1090.0</v>
      </c>
      <c r="F6" s="8" t="s">
        <v>1428</v>
      </c>
      <c r="G6" s="11">
        <v>880.0</v>
      </c>
      <c r="H6" s="11">
        <v>449.0</v>
      </c>
    </row>
    <row r="7">
      <c r="A7" s="8">
        <v>9.0</v>
      </c>
      <c r="B7" s="8" t="s">
        <v>1405</v>
      </c>
      <c r="C7" s="8">
        <v>621.0</v>
      </c>
      <c r="D7" s="8" t="s">
        <v>1421</v>
      </c>
      <c r="E7" s="8">
        <v>1106.0</v>
      </c>
      <c r="F7" s="8" t="s">
        <v>1404</v>
      </c>
      <c r="G7" s="11">
        <v>1039.0</v>
      </c>
      <c r="H7" s="11">
        <v>485.0</v>
      </c>
    </row>
    <row r="8">
      <c r="A8" s="8">
        <v>7.0</v>
      </c>
      <c r="B8" s="8" t="s">
        <v>52</v>
      </c>
      <c r="C8" s="8">
        <v>629.0</v>
      </c>
      <c r="D8" s="8" t="s">
        <v>65</v>
      </c>
      <c r="E8" s="8">
        <v>1128.0</v>
      </c>
      <c r="F8" s="8" t="s">
        <v>51</v>
      </c>
      <c r="G8" s="11">
        <v>746.0</v>
      </c>
      <c r="H8" s="11">
        <v>499.0</v>
      </c>
    </row>
    <row r="9">
      <c r="A9" s="8">
        <v>3.0</v>
      </c>
      <c r="B9" s="8" t="s">
        <v>420</v>
      </c>
      <c r="C9" s="8">
        <v>1065.0</v>
      </c>
      <c r="D9" s="8" t="s">
        <v>424</v>
      </c>
      <c r="E9" s="8">
        <v>1144.0</v>
      </c>
      <c r="F9" s="8" t="s">
        <v>419</v>
      </c>
      <c r="G9" s="11">
        <v>1120.0</v>
      </c>
      <c r="H9" s="11">
        <v>79.0</v>
      </c>
    </row>
    <row r="10">
      <c r="A10" s="8">
        <v>9.0</v>
      </c>
      <c r="B10" s="8" t="s">
        <v>347</v>
      </c>
      <c r="C10" s="8">
        <v>636.0</v>
      </c>
      <c r="D10" s="8" t="s">
        <v>363</v>
      </c>
      <c r="E10" s="8">
        <v>1157.0</v>
      </c>
      <c r="F10" s="8" t="s">
        <v>346</v>
      </c>
      <c r="G10" s="11">
        <v>1015.0</v>
      </c>
      <c r="H10" s="11">
        <v>521.0</v>
      </c>
    </row>
    <row r="11">
      <c r="A11" s="8">
        <v>3.0</v>
      </c>
      <c r="B11" s="8" t="s">
        <v>1398</v>
      </c>
      <c r="C11" s="8">
        <v>715.0</v>
      </c>
      <c r="D11" s="8" t="s">
        <v>1402</v>
      </c>
      <c r="E11" s="8">
        <v>1167.0</v>
      </c>
      <c r="F11" s="8" t="s">
        <v>1397</v>
      </c>
      <c r="G11" s="11">
        <v>903.0</v>
      </c>
      <c r="H11" s="11">
        <v>452.0</v>
      </c>
    </row>
    <row r="12">
      <c r="A12" s="8">
        <v>2.0</v>
      </c>
      <c r="B12" s="8" t="s">
        <v>1424</v>
      </c>
      <c r="C12" s="8">
        <v>1162.0</v>
      </c>
      <c r="D12" s="8" t="s">
        <v>1426</v>
      </c>
      <c r="E12" s="8">
        <v>1168.0</v>
      </c>
      <c r="F12" s="8" t="s">
        <v>1423</v>
      </c>
      <c r="G12" s="11">
        <v>1165.0</v>
      </c>
      <c r="H12" s="11">
        <v>6.0</v>
      </c>
    </row>
    <row r="13">
      <c r="A13" s="8">
        <v>6.0</v>
      </c>
      <c r="B13" s="8" t="s">
        <v>1209</v>
      </c>
      <c r="C13" s="8">
        <v>792.0</v>
      </c>
      <c r="D13" s="8" t="s">
        <v>1219</v>
      </c>
      <c r="E13" s="8">
        <v>1178.0</v>
      </c>
      <c r="F13" s="8" t="s">
        <v>1208</v>
      </c>
      <c r="G13" s="11">
        <v>1145.5</v>
      </c>
      <c r="H13" s="11">
        <v>386.0</v>
      </c>
    </row>
    <row r="14">
      <c r="A14" s="8">
        <v>21.0</v>
      </c>
      <c r="B14" s="8" t="s">
        <v>1025</v>
      </c>
      <c r="C14" s="8">
        <v>645.0</v>
      </c>
      <c r="D14" s="8" t="s">
        <v>1065</v>
      </c>
      <c r="E14" s="8">
        <v>1180.0</v>
      </c>
      <c r="F14" s="8" t="s">
        <v>1024</v>
      </c>
      <c r="G14" s="11">
        <v>824.0</v>
      </c>
      <c r="H14" s="11">
        <v>535.0</v>
      </c>
    </row>
    <row r="15">
      <c r="A15" s="8">
        <v>23.0</v>
      </c>
      <c r="B15" s="8" t="s">
        <v>948</v>
      </c>
      <c r="C15" s="8">
        <v>607.0</v>
      </c>
      <c r="D15" s="8" t="s">
        <v>992</v>
      </c>
      <c r="E15" s="8">
        <v>1181.0</v>
      </c>
      <c r="F15" s="8" t="s">
        <v>947</v>
      </c>
      <c r="G15" s="11">
        <v>945.0</v>
      </c>
      <c r="H15" s="11">
        <v>574.0</v>
      </c>
    </row>
    <row r="16">
      <c r="A16" s="8">
        <v>24.0</v>
      </c>
      <c r="B16" s="8" t="s">
        <v>1222</v>
      </c>
      <c r="C16" s="8">
        <v>608.0</v>
      </c>
      <c r="D16" s="8" t="s">
        <v>1268</v>
      </c>
      <c r="E16" s="8">
        <v>1195.0</v>
      </c>
      <c r="F16" s="8" t="s">
        <v>1221</v>
      </c>
      <c r="G16" s="11">
        <v>1100.0</v>
      </c>
      <c r="H16" s="11">
        <v>587.0</v>
      </c>
    </row>
    <row r="17">
      <c r="A17" s="8">
        <v>3.0</v>
      </c>
      <c r="B17" s="8" t="s">
        <v>783</v>
      </c>
      <c r="C17" s="8">
        <v>1133.0</v>
      </c>
      <c r="D17" s="8" t="s">
        <v>787</v>
      </c>
      <c r="E17" s="8">
        <v>1197.0</v>
      </c>
      <c r="F17" s="8" t="s">
        <v>782</v>
      </c>
      <c r="G17" s="11">
        <v>1141.0</v>
      </c>
      <c r="H17" s="11">
        <v>64.0</v>
      </c>
    </row>
    <row r="18">
      <c r="A18" s="8">
        <v>3.0</v>
      </c>
      <c r="B18" s="8" t="s">
        <v>68</v>
      </c>
      <c r="C18" s="8">
        <v>600.0</v>
      </c>
      <c r="D18" s="8" t="s">
        <v>72</v>
      </c>
      <c r="E18" s="8">
        <v>1204.0</v>
      </c>
      <c r="F18" s="8" t="s">
        <v>67</v>
      </c>
      <c r="G18" s="11">
        <v>696.0</v>
      </c>
      <c r="H18" s="11">
        <v>604.0</v>
      </c>
    </row>
    <row r="19">
      <c r="A19" s="8">
        <v>4.0</v>
      </c>
      <c r="B19" s="8" t="s">
        <v>1016</v>
      </c>
      <c r="C19" s="8">
        <v>1103.0</v>
      </c>
      <c r="D19" s="8" t="s">
        <v>1022</v>
      </c>
      <c r="E19" s="8">
        <v>1207.0</v>
      </c>
      <c r="F19" s="8" t="s">
        <v>1015</v>
      </c>
      <c r="G19" s="11">
        <v>1157.0</v>
      </c>
      <c r="H19" s="11">
        <v>104.0</v>
      </c>
    </row>
    <row r="20">
      <c r="A20" s="8">
        <v>29.0</v>
      </c>
      <c r="B20" s="8" t="s">
        <v>87</v>
      </c>
      <c r="C20" s="8">
        <v>600.0</v>
      </c>
      <c r="D20" s="8" t="s">
        <v>143</v>
      </c>
      <c r="E20" s="8">
        <v>1208.0</v>
      </c>
      <c r="F20" s="8" t="s">
        <v>86</v>
      </c>
      <c r="G20" s="11">
        <v>886.0</v>
      </c>
      <c r="H20" s="11">
        <v>608.0</v>
      </c>
    </row>
    <row r="21">
      <c r="A21" s="8">
        <v>56.0</v>
      </c>
      <c r="B21" s="8" t="s">
        <v>157</v>
      </c>
      <c r="C21" s="8">
        <v>604.0</v>
      </c>
      <c r="D21" s="8" t="s">
        <v>269</v>
      </c>
      <c r="E21" s="8">
        <v>1215.0</v>
      </c>
      <c r="F21" s="8" t="s">
        <v>156</v>
      </c>
      <c r="G21" s="11">
        <v>822.5</v>
      </c>
      <c r="H21" s="11">
        <v>611.0</v>
      </c>
    </row>
    <row r="22">
      <c r="A22" s="8">
        <v>21.0</v>
      </c>
      <c r="B22" s="8" t="s">
        <v>898</v>
      </c>
      <c r="C22" s="8">
        <v>709.0</v>
      </c>
      <c r="D22" s="8" t="s">
        <v>938</v>
      </c>
      <c r="E22" s="8">
        <v>1238.0</v>
      </c>
      <c r="F22" s="8" t="s">
        <v>897</v>
      </c>
      <c r="G22" s="11">
        <v>1125.0</v>
      </c>
      <c r="H22" s="11">
        <v>529.0</v>
      </c>
    </row>
    <row r="23">
      <c r="A23" s="8">
        <v>6.0</v>
      </c>
      <c r="B23" s="8" t="s">
        <v>885</v>
      </c>
      <c r="C23" s="8">
        <v>769.0</v>
      </c>
      <c r="D23" s="8" t="s">
        <v>895</v>
      </c>
      <c r="E23" s="8">
        <v>1243.0</v>
      </c>
      <c r="F23" s="8" t="s">
        <v>884</v>
      </c>
      <c r="G23" s="11">
        <v>1056.0</v>
      </c>
      <c r="H23" s="11">
        <v>474.0</v>
      </c>
    </row>
    <row r="24">
      <c r="A24" s="8">
        <v>11.0</v>
      </c>
      <c r="B24" s="8" t="s">
        <v>23</v>
      </c>
      <c r="C24" s="8">
        <v>633.0</v>
      </c>
      <c r="D24" s="8" t="s">
        <v>20</v>
      </c>
      <c r="E24" s="8">
        <v>1250.0</v>
      </c>
      <c r="F24" s="8" t="s">
        <v>27</v>
      </c>
      <c r="G24" s="11">
        <v>1120.0</v>
      </c>
      <c r="H24" s="11">
        <v>617.0</v>
      </c>
    </row>
    <row r="25">
      <c r="A25" s="8">
        <v>6.0</v>
      </c>
      <c r="B25" s="8" t="s">
        <v>366</v>
      </c>
      <c r="C25" s="8">
        <v>600.0</v>
      </c>
      <c r="D25" s="8" t="s">
        <v>376</v>
      </c>
      <c r="E25" s="8">
        <v>1256.0</v>
      </c>
      <c r="F25" s="8" t="s">
        <v>365</v>
      </c>
      <c r="G25" s="11">
        <v>1187.5</v>
      </c>
      <c r="H25" s="11">
        <v>656.0</v>
      </c>
    </row>
    <row r="26">
      <c r="A26" s="8">
        <v>16.0</v>
      </c>
      <c r="B26" s="8" t="s">
        <v>852</v>
      </c>
      <c r="C26" s="8">
        <v>659.0</v>
      </c>
      <c r="D26" s="8" t="s">
        <v>882</v>
      </c>
      <c r="E26" s="8">
        <v>1259.0</v>
      </c>
      <c r="F26" s="8" t="s">
        <v>851</v>
      </c>
      <c r="G26" s="11">
        <v>1041.0</v>
      </c>
      <c r="H26" s="11">
        <v>600.0</v>
      </c>
    </row>
    <row r="27">
      <c r="A27" s="8">
        <v>33.0</v>
      </c>
      <c r="B27" s="8" t="s">
        <v>533</v>
      </c>
      <c r="C27" s="8">
        <v>610.0</v>
      </c>
      <c r="D27" s="8" t="s">
        <v>597</v>
      </c>
      <c r="E27" s="8">
        <v>1262.0</v>
      </c>
      <c r="F27" s="8" t="s">
        <v>532</v>
      </c>
      <c r="G27" s="11">
        <v>969.0</v>
      </c>
      <c r="H27" s="11">
        <v>652.0</v>
      </c>
    </row>
    <row r="28">
      <c r="A28" s="8">
        <v>14.0</v>
      </c>
      <c r="B28" s="8" t="s">
        <v>600</v>
      </c>
      <c r="C28" s="8">
        <v>901.0</v>
      </c>
      <c r="D28" s="8" t="s">
        <v>626</v>
      </c>
      <c r="E28" s="8">
        <v>1276.0</v>
      </c>
      <c r="F28" s="8" t="s">
        <v>599</v>
      </c>
      <c r="G28" s="11">
        <v>1127.0</v>
      </c>
      <c r="H28" s="11">
        <v>375.0</v>
      </c>
    </row>
    <row r="29">
      <c r="A29" s="8">
        <v>7.0</v>
      </c>
      <c r="B29" s="8" t="s">
        <v>1068</v>
      </c>
      <c r="C29" s="8">
        <v>817.0</v>
      </c>
      <c r="D29" s="8" t="s">
        <v>1080</v>
      </c>
      <c r="E29" s="8">
        <v>1281.0</v>
      </c>
      <c r="F29" s="8" t="s">
        <v>1067</v>
      </c>
      <c r="G29" s="11">
        <v>1100.0</v>
      </c>
      <c r="H29" s="11">
        <v>464.0</v>
      </c>
    </row>
    <row r="30">
      <c r="A30" s="8">
        <v>27.0</v>
      </c>
      <c r="B30" s="8" t="s">
        <v>435</v>
      </c>
      <c r="C30" s="8">
        <v>600.0</v>
      </c>
      <c r="D30" s="8" t="s">
        <v>483</v>
      </c>
      <c r="E30" s="8">
        <v>1290.0</v>
      </c>
      <c r="F30" s="8" t="s">
        <v>434</v>
      </c>
      <c r="G30" s="11">
        <v>937.0</v>
      </c>
      <c r="H30" s="11">
        <v>690.0</v>
      </c>
    </row>
    <row r="31">
      <c r="A31" s="8">
        <v>20.0</v>
      </c>
      <c r="B31" s="8" t="s">
        <v>379</v>
      </c>
      <c r="C31" s="8">
        <v>647.0</v>
      </c>
      <c r="D31" s="8" t="s">
        <v>417</v>
      </c>
      <c r="E31" s="8">
        <v>1292.0</v>
      </c>
      <c r="F31" s="8" t="s">
        <v>378</v>
      </c>
      <c r="G31" s="11">
        <v>959.0</v>
      </c>
      <c r="H31" s="11">
        <v>645.0</v>
      </c>
    </row>
    <row r="32">
      <c r="A32" s="8">
        <v>27.0</v>
      </c>
      <c r="B32" s="8" t="s">
        <v>790</v>
      </c>
      <c r="C32" s="8">
        <v>668.0</v>
      </c>
      <c r="D32" s="8" t="s">
        <v>842</v>
      </c>
      <c r="E32" s="8">
        <v>1300.0</v>
      </c>
      <c r="F32" s="8" t="s">
        <v>789</v>
      </c>
      <c r="G32" s="11">
        <v>1077.0</v>
      </c>
      <c r="H32" s="11">
        <v>632.0</v>
      </c>
    </row>
    <row r="33">
      <c r="A33" s="8">
        <v>52.0</v>
      </c>
      <c r="B33" s="8" t="s">
        <v>629</v>
      </c>
      <c r="C33" s="8">
        <v>600.0</v>
      </c>
      <c r="D33" s="8" t="s">
        <v>729</v>
      </c>
      <c r="E33" s="8">
        <v>1306.0</v>
      </c>
      <c r="F33" s="8" t="s">
        <v>628</v>
      </c>
      <c r="G33" s="11">
        <v>976.5</v>
      </c>
      <c r="H33" s="11">
        <v>706.0</v>
      </c>
    </row>
    <row r="34">
      <c r="A34" s="8">
        <v>7.0</v>
      </c>
      <c r="B34" s="8" t="s">
        <v>332</v>
      </c>
      <c r="C34" s="8">
        <v>679.0</v>
      </c>
      <c r="D34" s="8" t="s">
        <v>344</v>
      </c>
      <c r="E34" s="8">
        <v>1306.0</v>
      </c>
      <c r="F34" s="8" t="s">
        <v>331</v>
      </c>
      <c r="G34" s="11">
        <v>1100.0</v>
      </c>
      <c r="H34" s="11">
        <v>627.0</v>
      </c>
    </row>
    <row r="35">
      <c r="A35" s="8">
        <v>36.0</v>
      </c>
      <c r="B35" s="8" t="s">
        <v>1083</v>
      </c>
      <c r="C35" s="8">
        <v>609.0</v>
      </c>
      <c r="D35" s="8" t="s">
        <v>1153</v>
      </c>
      <c r="E35" s="8">
        <v>1363.0</v>
      </c>
      <c r="F35" s="8" t="s">
        <v>1082</v>
      </c>
      <c r="G35" s="11">
        <v>1092.0</v>
      </c>
      <c r="H35" s="11">
        <v>754.0</v>
      </c>
    </row>
    <row r="36">
      <c r="A36" s="8">
        <v>10.0</v>
      </c>
      <c r="B36" s="8" t="s">
        <v>272</v>
      </c>
      <c r="C36" s="8">
        <v>694.0</v>
      </c>
      <c r="D36" s="8" t="s">
        <v>290</v>
      </c>
      <c r="E36" s="8">
        <v>1409.0</v>
      </c>
      <c r="F36" s="8" t="s">
        <v>271</v>
      </c>
      <c r="G36" s="11">
        <v>1123.5</v>
      </c>
      <c r="H36" s="11">
        <v>715.0</v>
      </c>
    </row>
    <row r="37">
      <c r="A37" s="8">
        <v>4.0</v>
      </c>
      <c r="B37" s="8" t="s">
        <v>146</v>
      </c>
      <c r="C37" s="8">
        <v>601.0</v>
      </c>
      <c r="D37" s="8" t="s">
        <v>154</v>
      </c>
      <c r="E37" s="8">
        <v>1417.0</v>
      </c>
      <c r="F37" s="8" t="s">
        <v>145</v>
      </c>
      <c r="G37" s="11">
        <v>1113.0</v>
      </c>
      <c r="H37" s="11">
        <v>816.0</v>
      </c>
    </row>
    <row r="38">
      <c r="A38" s="8">
        <v>10.0</v>
      </c>
      <c r="B38" s="8" t="s">
        <v>995</v>
      </c>
      <c r="C38" s="8">
        <v>615.0</v>
      </c>
      <c r="D38" s="8" t="s">
        <v>994</v>
      </c>
      <c r="E38" s="8">
        <v>1419.0</v>
      </c>
      <c r="F38" s="8" t="s">
        <v>997</v>
      </c>
      <c r="G38" s="11">
        <v>1020.5</v>
      </c>
      <c r="H38" s="11">
        <v>804.0</v>
      </c>
    </row>
    <row r="39">
      <c r="A39" s="8">
        <v>26.0</v>
      </c>
      <c r="B39" s="8" t="s">
        <v>1156</v>
      </c>
      <c r="C39" s="8">
        <v>618.0</v>
      </c>
      <c r="D39" s="8" t="s">
        <v>1206</v>
      </c>
      <c r="E39" s="8">
        <v>1433.0</v>
      </c>
      <c r="F39" s="8" t="s">
        <v>1155</v>
      </c>
      <c r="G39" s="11">
        <v>948.0</v>
      </c>
      <c r="H39" s="11">
        <v>815.0</v>
      </c>
    </row>
    <row r="40">
      <c r="A40" s="8">
        <v>19.0</v>
      </c>
      <c r="B40" s="8" t="s">
        <v>293</v>
      </c>
      <c r="C40" s="8">
        <v>626.0</v>
      </c>
      <c r="D40" s="8" t="s">
        <v>329</v>
      </c>
      <c r="E40" s="8">
        <v>1442.0</v>
      </c>
      <c r="F40" s="8" t="s">
        <v>292</v>
      </c>
      <c r="G40" s="11">
        <v>1132.0</v>
      </c>
      <c r="H40" s="11">
        <v>816.0</v>
      </c>
    </row>
    <row r="41">
      <c r="A41" s="8">
        <v>24.0</v>
      </c>
      <c r="B41" s="8" t="s">
        <v>734</v>
      </c>
      <c r="C41" s="8">
        <v>600.0</v>
      </c>
      <c r="D41" s="8" t="s">
        <v>776</v>
      </c>
      <c r="E41" s="8">
        <v>1475.0</v>
      </c>
      <c r="F41" s="8" t="s">
        <v>733</v>
      </c>
      <c r="G41" s="11">
        <v>867.0</v>
      </c>
      <c r="H41" s="11">
        <v>875.0</v>
      </c>
    </row>
    <row r="42">
      <c r="A42" s="8">
        <v>30.0</v>
      </c>
      <c r="B42" s="8" t="s">
        <v>1440</v>
      </c>
      <c r="C42" s="8">
        <v>629.0</v>
      </c>
      <c r="D42" s="8" t="s">
        <v>1499</v>
      </c>
      <c r="E42" s="8">
        <v>1528.0</v>
      </c>
      <c r="F42" s="8" t="s">
        <v>1439</v>
      </c>
      <c r="G42" s="11">
        <v>1199.5</v>
      </c>
      <c r="H42" s="11">
        <v>899.0</v>
      </c>
    </row>
    <row r="43">
      <c r="A43" s="8">
        <v>63.0</v>
      </c>
      <c r="B43" s="8" t="s">
        <v>1271</v>
      </c>
      <c r="C43" s="8">
        <v>621.0</v>
      </c>
      <c r="D43" s="8" t="s">
        <v>1395</v>
      </c>
      <c r="E43" s="8">
        <v>1533.0</v>
      </c>
      <c r="F43" s="8" t="s">
        <v>1270</v>
      </c>
      <c r="G43" s="11">
        <v>1103.0</v>
      </c>
      <c r="H43" s="11">
        <v>912.0</v>
      </c>
    </row>
    <row r="44">
      <c r="A44" s="8">
        <v>21.0</v>
      </c>
      <c r="B44" s="8" t="s">
        <v>490</v>
      </c>
      <c r="C44" s="8">
        <v>637.0</v>
      </c>
      <c r="D44" s="8" t="s">
        <v>530</v>
      </c>
      <c r="E44" s="8">
        <v>1536.0</v>
      </c>
      <c r="F44" s="8" t="s">
        <v>489</v>
      </c>
      <c r="G44" s="11">
        <v>1148.0</v>
      </c>
      <c r="H44" s="11">
        <v>899.0</v>
      </c>
    </row>
    <row r="46">
      <c r="A46" s="4"/>
      <c r="B46" s="3"/>
      <c r="C46" s="3"/>
    </row>
    <row r="47">
      <c r="A47" s="3" t="s">
        <v>68</v>
      </c>
      <c r="B47" s="5">
        <v>600.0</v>
      </c>
      <c r="C47" s="3" t="s">
        <v>72</v>
      </c>
    </row>
    <row r="48">
      <c r="A48" s="3" t="s">
        <v>87</v>
      </c>
      <c r="B48" s="5">
        <v>600.0</v>
      </c>
      <c r="C48" s="3" t="s">
        <v>143</v>
      </c>
    </row>
    <row r="49">
      <c r="A49" s="3" t="s">
        <v>366</v>
      </c>
      <c r="B49" s="5">
        <v>600.0</v>
      </c>
      <c r="C49" s="3" t="s">
        <v>376</v>
      </c>
    </row>
    <row r="50">
      <c r="A50" s="3" t="s">
        <v>435</v>
      </c>
      <c r="B50" s="5">
        <v>600.0</v>
      </c>
      <c r="C50" s="3" t="s">
        <v>483</v>
      </c>
    </row>
    <row r="51">
      <c r="A51" s="3" t="s">
        <v>629</v>
      </c>
      <c r="B51" s="5">
        <v>600.0</v>
      </c>
      <c r="C51" s="3" t="s">
        <v>729</v>
      </c>
    </row>
    <row r="52">
      <c r="A52" s="3" t="s">
        <v>734</v>
      </c>
      <c r="B52" s="5">
        <v>600.0</v>
      </c>
      <c r="C52" s="3" t="s">
        <v>776</v>
      </c>
    </row>
    <row r="53">
      <c r="A53" s="3" t="s">
        <v>146</v>
      </c>
      <c r="B53" s="5">
        <v>601.0</v>
      </c>
      <c r="C53" s="3" t="s">
        <v>154</v>
      </c>
    </row>
    <row r="54">
      <c r="A54" s="3" t="s">
        <v>157</v>
      </c>
      <c r="B54" s="5">
        <v>604.0</v>
      </c>
      <c r="C54" s="3" t="s">
        <v>269</v>
      </c>
    </row>
    <row r="55">
      <c r="A55" s="3" t="s">
        <v>948</v>
      </c>
      <c r="B55" s="5">
        <v>607.0</v>
      </c>
      <c r="C55" s="3" t="s">
        <v>992</v>
      </c>
    </row>
    <row r="56">
      <c r="A56" s="3" t="s">
        <v>427</v>
      </c>
      <c r="B56" s="5">
        <v>608.0</v>
      </c>
      <c r="C56" s="3" t="s">
        <v>432</v>
      </c>
    </row>
    <row r="57">
      <c r="A57" s="3"/>
      <c r="B57" s="3"/>
      <c r="C57" s="3"/>
    </row>
    <row r="58">
      <c r="A58" s="3"/>
    </row>
    <row r="59">
      <c r="A59" s="8" t="s">
        <v>1083</v>
      </c>
      <c r="B59" s="8">
        <v>1363.0</v>
      </c>
      <c r="C59" s="8" t="s">
        <v>1082</v>
      </c>
    </row>
    <row r="60">
      <c r="A60" s="8" t="s">
        <v>272</v>
      </c>
      <c r="B60" s="8">
        <v>1409.0</v>
      </c>
      <c r="C60" s="8" t="s">
        <v>271</v>
      </c>
    </row>
    <row r="61">
      <c r="A61" s="8" t="s">
        <v>146</v>
      </c>
      <c r="B61" s="8">
        <v>1417.0</v>
      </c>
      <c r="C61" s="8" t="s">
        <v>145</v>
      </c>
    </row>
    <row r="62">
      <c r="A62" s="8" t="s">
        <v>995</v>
      </c>
      <c r="B62" s="8">
        <v>1419.0</v>
      </c>
      <c r="C62" s="8" t="s">
        <v>997</v>
      </c>
    </row>
    <row r="63">
      <c r="A63" s="8" t="s">
        <v>1156</v>
      </c>
      <c r="B63" s="8">
        <v>1433.0</v>
      </c>
      <c r="C63" s="8" t="s">
        <v>1155</v>
      </c>
    </row>
    <row r="64">
      <c r="A64" s="8" t="s">
        <v>293</v>
      </c>
      <c r="B64" s="8">
        <v>1442.0</v>
      </c>
      <c r="C64" s="8" t="s">
        <v>292</v>
      </c>
    </row>
    <row r="65">
      <c r="A65" s="8" t="s">
        <v>734</v>
      </c>
      <c r="B65" s="8">
        <v>1475.0</v>
      </c>
      <c r="C65" s="8" t="s">
        <v>733</v>
      </c>
    </row>
    <row r="66">
      <c r="A66" s="8" t="s">
        <v>1440</v>
      </c>
      <c r="B66" s="8">
        <v>1528.0</v>
      </c>
      <c r="C66" s="8" t="s">
        <v>1439</v>
      </c>
    </row>
    <row r="67">
      <c r="A67" s="8" t="s">
        <v>1271</v>
      </c>
      <c r="B67" s="8">
        <v>1533.0</v>
      </c>
      <c r="C67" s="8" t="s">
        <v>1270</v>
      </c>
    </row>
    <row r="68">
      <c r="A68" s="8" t="s">
        <v>490</v>
      </c>
      <c r="B68" s="8">
        <v>1536.0</v>
      </c>
      <c r="C68" s="8" t="s">
        <v>489</v>
      </c>
    </row>
  </sheetData>
  <drawing r:id="rId1"/>
</worksheet>
</file>